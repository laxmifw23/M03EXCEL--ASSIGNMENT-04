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66925"/>
  <mc:AlternateContent xmlns:mc="http://schemas.openxmlformats.org/markup-compatibility/2006">
    <mc:Choice Requires="x15">
      <x15ac:absPath xmlns:x15ac="http://schemas.microsoft.com/office/spreadsheetml/2010/11/ac" url="D:\DATA ANALYTICS NOTES\05-EXCEL\MODULE -WISE ASSIGNMENT\"/>
    </mc:Choice>
  </mc:AlternateContent>
  <xr:revisionPtr revIDLastSave="0" documentId="13_ncr:1_{14EA51C2-A979-40E6-9A1C-09ED890D0033}" xr6:coauthVersionLast="47" xr6:coauthVersionMax="47" xr10:uidLastSave="{00000000-0000-0000-0000-000000000000}"/>
  <bookViews>
    <workbookView xWindow="0" yWindow="350" windowWidth="19200" windowHeight="10450" activeTab="4" xr2:uid="{89149032-AEF1-48C3-8ACC-06EC69CD89EF}"/>
  </bookViews>
  <sheets>
    <sheet name="Q06" sheetId="1" r:id="rId1"/>
    <sheet name="Q07" sheetId="4" r:id="rId2"/>
    <sheet name="Q07A" sheetId="6" r:id="rId3"/>
    <sheet name="Q07B" sheetId="7" r:id="rId4"/>
    <sheet name="Q08" sheetId="3" r:id="rId5"/>
    <sheet name="Q09" sheetId="5" r:id="rId6"/>
  </sheets>
  <definedNames>
    <definedName name="_xlnm._FilterDatabase" localSheetId="0" hidden="1">'Q06'!$C$3:$G$3</definedName>
    <definedName name="Slicer_Cause1">#N/A</definedName>
    <definedName name="Slicer_Location">#N/A</definedName>
    <definedName name="Slicer_Severity1">#N/A</definedName>
    <definedName name="Slicer_Weather_Condition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6e1169b0-35a8-4079-a67b-ec1836d6ba4a" name="Sheet1" connection="Query - 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5" l="1"/>
  <c r="N5" i="5"/>
  <c r="N6" i="5"/>
  <c r="N7" i="5"/>
  <c r="N8" i="5"/>
  <c r="N9" i="5"/>
  <c r="N10" i="5"/>
  <c r="N11" i="5"/>
  <c r="N12" i="5"/>
  <c r="N13" i="5"/>
  <c r="N14" i="5"/>
  <c r="N15" i="5"/>
  <c r="N3" i="5"/>
  <c r="G5" i="1" l="1"/>
  <c r="G6" i="1"/>
  <c r="G7" i="1"/>
  <c r="G8" i="1"/>
  <c r="G9" i="1"/>
  <c r="G10" i="1"/>
  <c r="G11" i="1"/>
  <c r="G4" i="1"/>
  <c r="F5" i="1"/>
  <c r="F6" i="1"/>
  <c r="F7" i="1"/>
  <c r="F8" i="1"/>
  <c r="F9" i="1"/>
  <c r="F10" i="1"/>
  <c r="F11" i="1"/>
  <c r="F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A03CD3-C5D4-4834-9F66-E0AD36CF2F30}" name="Query - Sheet1" description="Connection to the 'Sheet1' query in the workbook." type="100" refreshedVersion="8" minRefreshableVersion="5">
    <extLst>
      <ext xmlns:x15="http://schemas.microsoft.com/office/spreadsheetml/2010/11/main" uri="{DE250136-89BD-433C-8126-D09CA5730AF9}">
        <x15:connection id="1f1ae8c5-4db5-4860-8b8a-3ec9fa5da899"/>
      </ext>
    </extLst>
  </connection>
  <connection id="2" xr16:uid="{DEDC33FD-A5A2-4968-B326-848C5AD48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<sst xmlns="http://schemas.openxmlformats.org/spreadsheetml/2006/main" count="1223" uniqueCount="376">
  <si>
    <t>Question 6 : Create a dataset of 8 employees with joining dates. Use the dummy dataset to calculate their experience in years and months.</t>
  </si>
  <si>
    <t>Employee_Name</t>
  </si>
  <si>
    <t>Joining_Date</t>
  </si>
  <si>
    <t>Employee_ID</t>
  </si>
  <si>
    <t>E001</t>
  </si>
  <si>
    <t>E002</t>
  </si>
  <si>
    <t>E003</t>
  </si>
  <si>
    <t>E004</t>
  </si>
  <si>
    <t>E005</t>
  </si>
  <si>
    <t>E006</t>
  </si>
  <si>
    <t>E007</t>
  </si>
  <si>
    <t>E008</t>
  </si>
  <si>
    <t>Rahul Sharma</t>
  </si>
  <si>
    <t>Amit Verma</t>
  </si>
  <si>
    <t>Sneha Kapoor</t>
  </si>
  <si>
    <t>Rajesh Kumar</t>
  </si>
  <si>
    <t>Priya Singh</t>
  </si>
  <si>
    <t>Karan Malhotra</t>
  </si>
  <si>
    <t>Neha Gupta</t>
  </si>
  <si>
    <t>Vikram Patel</t>
  </si>
  <si>
    <t>Experience(Years)</t>
  </si>
  <si>
    <t xml:space="preserve">Experience (Years &amp; Months) </t>
  </si>
  <si>
    <r>
      <rPr>
        <b/>
        <sz val="11"/>
        <color theme="1"/>
        <rFont val="Calibri"/>
        <family val="2"/>
        <scheme val="minor"/>
      </rPr>
      <t>Question 8 :</t>
    </r>
    <r>
      <rPr>
        <sz val="11"/>
        <color theme="1"/>
        <rFont val="Calibri"/>
        <family val="2"/>
        <scheme val="minor"/>
      </rPr>
      <t xml:space="preserve"> Create a table of 10 products with stock levels. Use Macros to highlight: ● Low stock (less than 10 units) in red ● Overstock (more than 50 units) in green.</t>
    </r>
  </si>
  <si>
    <t>Product_ID</t>
  </si>
  <si>
    <t>Product_Name</t>
  </si>
  <si>
    <t>Stock_Level</t>
  </si>
  <si>
    <t>P001</t>
  </si>
  <si>
    <t>P002</t>
  </si>
  <si>
    <t>P003</t>
  </si>
  <si>
    <t>P004</t>
  </si>
  <si>
    <t>P005</t>
  </si>
  <si>
    <t>P006</t>
  </si>
  <si>
    <t>P007</t>
  </si>
  <si>
    <t>P008</t>
  </si>
  <si>
    <t>P009</t>
  </si>
  <si>
    <t>P010</t>
  </si>
  <si>
    <t>Product A</t>
  </si>
  <si>
    <t>Product B</t>
  </si>
  <si>
    <t>Product J</t>
  </si>
  <si>
    <t>Product C</t>
  </si>
  <si>
    <t>Product D</t>
  </si>
  <si>
    <t>Product E</t>
  </si>
  <si>
    <t>Product F</t>
  </si>
  <si>
    <t>Product G</t>
  </si>
  <si>
    <t>Product H</t>
  </si>
  <si>
    <t>Product I</t>
  </si>
  <si>
    <t>Order ID</t>
  </si>
  <si>
    <t>Date</t>
  </si>
  <si>
    <t>Customer Name</t>
  </si>
  <si>
    <t>Region</t>
  </si>
  <si>
    <t>Product Category</t>
  </si>
  <si>
    <t>Product Name</t>
  </si>
  <si>
    <t>Quantity</t>
  </si>
  <si>
    <t>Unit Price (?)</t>
  </si>
  <si>
    <t>Total Sales (?)</t>
  </si>
  <si>
    <t>Profit Margin (%)</t>
  </si>
  <si>
    <t>Customer Age</t>
  </si>
  <si>
    <t>Payment Mode</t>
  </si>
  <si>
    <t>2025-01-01</t>
  </si>
  <si>
    <t>North India</t>
  </si>
  <si>
    <t>Electronics</t>
  </si>
  <si>
    <t>Smartwatch</t>
  </si>
  <si>
    <t>Credit Card</t>
  </si>
  <si>
    <t>2025-01-03</t>
  </si>
  <si>
    <t>West India</t>
  </si>
  <si>
    <t>Home Decor</t>
  </si>
  <si>
    <t>Wall Clock</t>
  </si>
  <si>
    <t>COD</t>
  </si>
  <si>
    <t>2025-01-04</t>
  </si>
  <si>
    <t>East India</t>
  </si>
  <si>
    <t>Bluetooth Speaker</t>
  </si>
  <si>
    <t>NetBanking</t>
  </si>
  <si>
    <t>2025-01-05</t>
  </si>
  <si>
    <t>Fashion</t>
  </si>
  <si>
    <t>Jeans</t>
  </si>
  <si>
    <t>2025-01-06</t>
  </si>
  <si>
    <t>South India</t>
  </si>
  <si>
    <t>Laptop</t>
  </si>
  <si>
    <t>UPI</t>
  </si>
  <si>
    <t>2025-01-07</t>
  </si>
  <si>
    <t>Sofa Set</t>
  </si>
  <si>
    <t>2025-01-08</t>
  </si>
  <si>
    <t>Dress</t>
  </si>
  <si>
    <t>2025-01-09</t>
  </si>
  <si>
    <t>Smartphone</t>
  </si>
  <si>
    <t>2025-01-10</t>
  </si>
  <si>
    <t>Ayesha Kapoor</t>
  </si>
  <si>
    <t>Dining Table Set</t>
  </si>
  <si>
    <t>2025-01-11</t>
  </si>
  <si>
    <t>Amitabh Verma</t>
  </si>
  <si>
    <t>Leather Jacket</t>
  </si>
  <si>
    <t>2025-01-12</t>
  </si>
  <si>
    <t>Sneha Gupta</t>
  </si>
  <si>
    <t>Headphones</t>
  </si>
  <si>
    <t>2025-01-13</t>
  </si>
  <si>
    <t>Nikhil Kumar</t>
  </si>
  <si>
    <t>Floor Lamp</t>
  </si>
  <si>
    <t>2025-01-14</t>
  </si>
  <si>
    <t>Meera Sharma</t>
  </si>
  <si>
    <t>Sneakers</t>
  </si>
  <si>
    <t>2025-01-15</t>
  </si>
  <si>
    <t>Aditya Verma</t>
  </si>
  <si>
    <t>Gaming Console</t>
  </si>
  <si>
    <t>2025-01-16</t>
  </si>
  <si>
    <t>Rohan Malhotra</t>
  </si>
  <si>
    <t>Drone Camera</t>
  </si>
  <si>
    <t>2025-01-17</t>
  </si>
  <si>
    <t>Neha Kapoor</t>
  </si>
  <si>
    <t>TV</t>
  </si>
  <si>
    <t>2025-01-18</t>
  </si>
  <si>
    <t>Kunal Singh</t>
  </si>
  <si>
    <t>Smart Glasses</t>
  </si>
  <si>
    <t>2025-01-19</t>
  </si>
  <si>
    <t>Alisha Roy</t>
  </si>
  <si>
    <t>Recliner Sofa</t>
  </si>
  <si>
    <t>2025-01-20</t>
  </si>
  <si>
    <t>Tarun Mishra</t>
  </si>
  <si>
    <t>Washing Machine</t>
  </si>
  <si>
    <t>2025-01-21</t>
  </si>
  <si>
    <t>Pooja Nair</t>
  </si>
  <si>
    <t>Earbuds</t>
  </si>
  <si>
    <t>2025-01-22</t>
  </si>
  <si>
    <t>Manish Tiwari</t>
  </si>
  <si>
    <t>Formal Shirt</t>
  </si>
  <si>
    <t>2025-01-23</t>
  </si>
  <si>
    <t>Shreya Desai</t>
  </si>
  <si>
    <t>Coffee Table</t>
  </si>
  <si>
    <t>2025-01-24</t>
  </si>
  <si>
    <t>Kabir Joshi</t>
  </si>
  <si>
    <t>Air Conditioner</t>
  </si>
  <si>
    <t>2025-01-25</t>
  </si>
  <si>
    <t>Anita Yadav</t>
  </si>
  <si>
    <t>Running Shoes</t>
  </si>
  <si>
    <t>2025-01-26</t>
  </si>
  <si>
    <t>Vivek Chopra</t>
  </si>
  <si>
    <t>Tablet</t>
  </si>
  <si>
    <t>2025-01-27</t>
  </si>
  <si>
    <t>Simran Kaur</t>
  </si>
  <si>
    <t>Neckband</t>
  </si>
  <si>
    <t>2025-01-28</t>
  </si>
  <si>
    <t>Nitin Bansal</t>
  </si>
  <si>
    <t>Bookshelf</t>
  </si>
  <si>
    <t>2025-01-29</t>
  </si>
  <si>
    <t>Rekha Reddy</t>
  </si>
  <si>
    <t>Microwave</t>
  </si>
  <si>
    <t>2025-01-30</t>
  </si>
  <si>
    <t>Gautam Saxena</t>
  </si>
  <si>
    <t>Backpack</t>
  </si>
  <si>
    <t>2025-01-31</t>
  </si>
  <si>
    <t>Preeti Rawat</t>
  </si>
  <si>
    <t>Gaming Mouse</t>
  </si>
  <si>
    <t>2025-02-01</t>
  </si>
  <si>
    <t>Ashok Sharma</t>
  </si>
  <si>
    <t>Leather Wallet</t>
  </si>
  <si>
    <t>2025-02-02</t>
  </si>
  <si>
    <t>Divya Nair</t>
  </si>
  <si>
    <t>Ceiling Fan</t>
  </si>
  <si>
    <t>2025-02-03</t>
  </si>
  <si>
    <t>Kiran Kapoor</t>
  </si>
  <si>
    <t>Sports Watch</t>
  </si>
  <si>
    <t>2025-02-04</t>
  </si>
  <si>
    <t>Yash Malhotra</t>
  </si>
  <si>
    <t>Router</t>
  </si>
  <si>
    <t>2025-02-05</t>
  </si>
  <si>
    <t>Anurag Verma</t>
  </si>
  <si>
    <t>Smart Bulb</t>
  </si>
  <si>
    <t>2025-02-06</t>
  </si>
  <si>
    <t>Ritika Shah</t>
  </si>
  <si>
    <t>Office Chair</t>
  </si>
  <si>
    <t>2025-02-07</t>
  </si>
  <si>
    <t>Tanmay Goel</t>
  </si>
  <si>
    <t>Blender</t>
  </si>
  <si>
    <t>2025-02-08</t>
  </si>
  <si>
    <t>Varun Singh</t>
  </si>
  <si>
    <t>Perfume</t>
  </si>
  <si>
    <t>2025-02-09</t>
  </si>
  <si>
    <t>Payal Mehta</t>
  </si>
  <si>
    <t>Power Bank</t>
  </si>
  <si>
    <t>2025-02-10</t>
  </si>
  <si>
    <t>Snehal Desai</t>
  </si>
  <si>
    <t>LED Bulb</t>
  </si>
  <si>
    <t>2025-02-11</t>
  </si>
  <si>
    <t>Ajay Patel</t>
  </si>
  <si>
    <t>Gym Gloves</t>
  </si>
  <si>
    <t>2025-02-12</t>
  </si>
  <si>
    <t>Kritika Gupta</t>
  </si>
  <si>
    <t>Wall Art</t>
  </si>
  <si>
    <t>2025-02-13</t>
  </si>
  <si>
    <t>Dinesh Nair</t>
  </si>
  <si>
    <t>Printer</t>
  </si>
  <si>
    <t>2025-02-14</t>
  </si>
  <si>
    <t>Priyanka Rao</t>
  </si>
  <si>
    <t>Sunglasses</t>
  </si>
  <si>
    <t>2025-02-15</t>
  </si>
  <si>
    <t>Harsh Malhotra</t>
  </si>
  <si>
    <t>Speaker</t>
  </si>
  <si>
    <t>2025-02-16</t>
  </si>
  <si>
    <t>Lavanya Kapoor</t>
  </si>
  <si>
    <t>Trolley Bag</t>
  </si>
  <si>
    <t>2025-02-17</t>
  </si>
  <si>
    <t>Aniket Shah</t>
  </si>
  <si>
    <t>Curtains</t>
  </si>
  <si>
    <t>2025-02-18</t>
  </si>
  <si>
    <t>Niharika Joshi</t>
  </si>
  <si>
    <t>Induction Stove</t>
  </si>
  <si>
    <t>2025-02-19</t>
  </si>
  <si>
    <t>Ravi Sharma</t>
  </si>
  <si>
    <t>Travel Pillow</t>
  </si>
  <si>
    <t>Accident ID</t>
  </si>
  <si>
    <t>Location</t>
  </si>
  <si>
    <t>Accident Type</t>
  </si>
  <si>
    <t>Vehicle Type</t>
  </si>
  <si>
    <t>Weather Condition</t>
  </si>
  <si>
    <t>Road Condition</t>
  </si>
  <si>
    <t>Severity</t>
  </si>
  <si>
    <t>Cause</t>
  </si>
  <si>
    <t>Casualties</t>
  </si>
  <si>
    <t>AID0001</t>
  </si>
  <si>
    <t>Hyderabad</t>
  </si>
  <si>
    <t>Overturn</t>
  </si>
  <si>
    <t>Auto-Rickshaw</t>
  </si>
  <si>
    <t>Clear</t>
  </si>
  <si>
    <t>Dry</t>
  </si>
  <si>
    <t>Moderate</t>
  </si>
  <si>
    <t>Overtaking</t>
  </si>
  <si>
    <t>AID0002</t>
  </si>
  <si>
    <t>Mumbai</t>
  </si>
  <si>
    <t>Foggy</t>
  </si>
  <si>
    <t>Damaged</t>
  </si>
  <si>
    <t>Distracted Driving</t>
  </si>
  <si>
    <t>AID0003</t>
  </si>
  <si>
    <t>Bicycle</t>
  </si>
  <si>
    <t>Windy</t>
  </si>
  <si>
    <t>Under Construction</t>
  </si>
  <si>
    <t>Fatal</t>
  </si>
  <si>
    <t>AID0004</t>
  </si>
  <si>
    <t>Pune</t>
  </si>
  <si>
    <t>Collision</t>
  </si>
  <si>
    <t>Truck</t>
  </si>
  <si>
    <t>Brake Failure</t>
  </si>
  <si>
    <t>AID0005</t>
  </si>
  <si>
    <t>Bangalore</t>
  </si>
  <si>
    <t>Animal Hit</t>
  </si>
  <si>
    <t>Weather</t>
  </si>
  <si>
    <t>AID0006</t>
  </si>
  <si>
    <t>Car</t>
  </si>
  <si>
    <t>Rainy</t>
  </si>
  <si>
    <t>Minor</t>
  </si>
  <si>
    <t>Drunk Driving</t>
  </si>
  <si>
    <t>AID0007</t>
  </si>
  <si>
    <t>Delhi</t>
  </si>
  <si>
    <t>Speeding</t>
  </si>
  <si>
    <t>AID0008</t>
  </si>
  <si>
    <t>Wet</t>
  </si>
  <si>
    <t>AID0009</t>
  </si>
  <si>
    <t>AID0010</t>
  </si>
  <si>
    <t>Ahmedabad</t>
  </si>
  <si>
    <t>Motorcycle</t>
  </si>
  <si>
    <t>Severe</t>
  </si>
  <si>
    <t>AID0011</t>
  </si>
  <si>
    <t>Object Hit</t>
  </si>
  <si>
    <t>AID0012</t>
  </si>
  <si>
    <t>Pedestrian Hit</t>
  </si>
  <si>
    <t>AID0013</t>
  </si>
  <si>
    <t>AID0014</t>
  </si>
  <si>
    <t>Chennai</t>
  </si>
  <si>
    <t>Bus</t>
  </si>
  <si>
    <t>AID0015</t>
  </si>
  <si>
    <t>AID0016</t>
  </si>
  <si>
    <t>AID0017</t>
  </si>
  <si>
    <t>AID0018</t>
  </si>
  <si>
    <t>Kolkata</t>
  </si>
  <si>
    <t>AID0019</t>
  </si>
  <si>
    <t>AID0020</t>
  </si>
  <si>
    <t>AID0021</t>
  </si>
  <si>
    <t>AID0022</t>
  </si>
  <si>
    <t>AID0023</t>
  </si>
  <si>
    <t>AID0024</t>
  </si>
  <si>
    <t>AID0025</t>
  </si>
  <si>
    <t>AID0026</t>
  </si>
  <si>
    <t>AID0027</t>
  </si>
  <si>
    <t>AID0028</t>
  </si>
  <si>
    <t>AID0029</t>
  </si>
  <si>
    <t>AID0030</t>
  </si>
  <si>
    <t>AID0031</t>
  </si>
  <si>
    <t>AID0032</t>
  </si>
  <si>
    <t>AID0033</t>
  </si>
  <si>
    <t>AID0034</t>
  </si>
  <si>
    <t>AID0035</t>
  </si>
  <si>
    <t>AID0036</t>
  </si>
  <si>
    <t>AID0037</t>
  </si>
  <si>
    <t>AID0038</t>
  </si>
  <si>
    <t>AID0039</t>
  </si>
  <si>
    <t>AID0040</t>
  </si>
  <si>
    <t>AID0041</t>
  </si>
  <si>
    <t>AID0042</t>
  </si>
  <si>
    <t>AID0043</t>
  </si>
  <si>
    <t>AID0044</t>
  </si>
  <si>
    <t>AID0045</t>
  </si>
  <si>
    <t>AID0046</t>
  </si>
  <si>
    <t>AID0047</t>
  </si>
  <si>
    <t>AID0048</t>
  </si>
  <si>
    <t>AID0049</t>
  </si>
  <si>
    <t>AID0050</t>
  </si>
  <si>
    <t>AID0051</t>
  </si>
  <si>
    <t>AID0052</t>
  </si>
  <si>
    <t>AID0053</t>
  </si>
  <si>
    <t>AID0054</t>
  </si>
  <si>
    <t>AID0055</t>
  </si>
  <si>
    <t>AID0056</t>
  </si>
  <si>
    <t>AID0057</t>
  </si>
  <si>
    <t>AID0058</t>
  </si>
  <si>
    <t>AID0059</t>
  </si>
  <si>
    <t>AID0060</t>
  </si>
  <si>
    <t>AID0061</t>
  </si>
  <si>
    <t>AID0062</t>
  </si>
  <si>
    <t>AID0063</t>
  </si>
  <si>
    <t>AID0064</t>
  </si>
  <si>
    <t>AID0065</t>
  </si>
  <si>
    <t>AID0066</t>
  </si>
  <si>
    <t>AID0067</t>
  </si>
  <si>
    <t>AID0068</t>
  </si>
  <si>
    <t>AID0069</t>
  </si>
  <si>
    <t>AID0070</t>
  </si>
  <si>
    <t>AID0071</t>
  </si>
  <si>
    <t>AID0072</t>
  </si>
  <si>
    <t>AID0073</t>
  </si>
  <si>
    <t>AID0074</t>
  </si>
  <si>
    <t>AID0075</t>
  </si>
  <si>
    <t>AID0076</t>
  </si>
  <si>
    <t>AID0077</t>
  </si>
  <si>
    <t>AID0078</t>
  </si>
  <si>
    <t>AID0079</t>
  </si>
  <si>
    <t>AID0080</t>
  </si>
  <si>
    <t>AID0081</t>
  </si>
  <si>
    <t>AID0082</t>
  </si>
  <si>
    <t>AID0083</t>
  </si>
  <si>
    <t>AID0084</t>
  </si>
  <si>
    <t>AID0085</t>
  </si>
  <si>
    <t>AID0086</t>
  </si>
  <si>
    <t>AID0087</t>
  </si>
  <si>
    <t>AID0088</t>
  </si>
  <si>
    <t>AID0089</t>
  </si>
  <si>
    <t>AID0090</t>
  </si>
  <si>
    <t>AID0091</t>
  </si>
  <si>
    <t>AID0092</t>
  </si>
  <si>
    <t>AID0093</t>
  </si>
  <si>
    <t>AID0094</t>
  </si>
  <si>
    <t>AID0095</t>
  </si>
  <si>
    <t>AID0096</t>
  </si>
  <si>
    <t>AID0097</t>
  </si>
  <si>
    <t>AID0098</t>
  </si>
  <si>
    <t>AID0099</t>
  </si>
  <si>
    <t>AID0100</t>
  </si>
  <si>
    <t>Row Labels</t>
  </si>
  <si>
    <t>Grand Total</t>
  </si>
  <si>
    <t>Column Labels</t>
  </si>
  <si>
    <t>Count of Severity</t>
  </si>
  <si>
    <t>Accidents by Weather and Severity</t>
  </si>
  <si>
    <t>Count of Road Condition</t>
  </si>
  <si>
    <t>Accident Count by Road Type</t>
  </si>
  <si>
    <t>Sum of Casualties</t>
  </si>
  <si>
    <t xml:space="preserve">Accidents by casualities and vehicle </t>
  </si>
  <si>
    <t>Count of Accident ID</t>
  </si>
  <si>
    <t>Jan</t>
  </si>
  <si>
    <t>Feb</t>
  </si>
  <si>
    <t>Mar</t>
  </si>
  <si>
    <t>Apr</t>
  </si>
  <si>
    <t>May</t>
  </si>
  <si>
    <t>Jun</t>
  </si>
  <si>
    <t>Accidents trend by Month</t>
  </si>
  <si>
    <t>PIVOT TABLES</t>
  </si>
  <si>
    <r>
      <rPr>
        <b/>
        <sz val="11"/>
        <color theme="1"/>
        <rFont val="Calibri"/>
        <family val="2"/>
        <scheme val="minor"/>
      </rPr>
      <t xml:space="preserve">Question 7 : </t>
    </r>
    <r>
      <rPr>
        <sz val="11"/>
        <color theme="1"/>
        <rFont val="Calibri"/>
        <family val="2"/>
        <scheme val="minor"/>
      </rPr>
      <t>You are provided with a dataset containing details of 100 road accidents.Design a Road Accident Analysis Dashboard using Pivot Tables and Slicers in Excel.</t>
    </r>
  </si>
  <si>
    <t>DROP-DOWN</t>
  </si>
  <si>
    <t>PRICE</t>
  </si>
  <si>
    <t>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</si>
</sst>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2"/>
      <color theme="1"/>
      <name val="Calibri"/>
      <family val="2"/>
      <scheme val="minor"/>
    </font>
    <font>
      <sz val="8"/>
      <name val="Calibri"/>
      <family val="2"/>
      <scheme val="minor"/>
    </font>
    <font>
      <b/>
      <sz val="11"/>
      <color theme="1"/>
      <name val="Calibri"/>
    </font>
    <font>
      <sz val="11"/>
      <color theme="1"/>
      <name val="Calibri"/>
      <scheme val="minor"/>
    </font>
    <font>
      <b/>
      <sz val="12"/>
      <color theme="1"/>
      <name val="Arial"/>
      <family val="2"/>
    </font>
    <font>
      <b/>
      <shadow/>
      <sz val="14"/>
      <color theme="1"/>
      <name val="Calibri"/>
      <family val="2"/>
      <scheme val="minor"/>
    </font>
    <font>
      <sz val="11"/>
      <color theme="1"/>
      <name val="Calibri"/>
      <family val="2"/>
      <scheme val="minor"/>
    </font>
    <font>
      <sz val="11"/>
      <color theme="0"/>
      <name val="Calibri"/>
      <family val="2"/>
      <scheme val="minor"/>
    </font>
    <font>
      <b/>
      <sz val="14"/>
      <color theme="1"/>
      <name val="Calibri"/>
      <family val="2"/>
      <scheme val="minor"/>
    </font>
    <font>
      <sz val="22"/>
      <color theme="1"/>
      <name val="Calibri"/>
      <family val="2"/>
      <scheme val="minor"/>
    </font>
    <font>
      <b/>
      <sz val="22"/>
      <color theme="1"/>
      <name val="Arial Rounded MT Bold"/>
      <family val="2"/>
    </font>
    <font>
      <b/>
      <sz val="11"/>
      <color theme="0"/>
      <name val="Calibri"/>
      <family val="2"/>
    </font>
  </fonts>
  <fills count="9">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5" tint="0.39997558519241921"/>
        <bgColor indexed="64"/>
      </patternFill>
    </fill>
    <fill>
      <patternFill patternType="solid">
        <fgColor rgb="FFFF0000"/>
        <bgColor indexed="64"/>
      </patternFill>
    </fill>
    <fill>
      <patternFill patternType="solid">
        <fgColor rgb="FF00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theme="4" tint="0.39997558519241921"/>
      </top>
      <bottom style="thin">
        <color theme="4" tint="0.39997558519241921"/>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s>
  <cellStyleXfs count="1">
    <xf numFmtId="0" fontId="0" fillId="0" borderId="0"/>
  </cellStyleXfs>
  <cellXfs count="29">
    <xf numFmtId="0" fontId="0" fillId="0" borderId="0" xfId="0"/>
    <xf numFmtId="0" fontId="0" fillId="0" borderId="1" xfId="0" applyBorder="1" applyAlignment="1">
      <alignment horizontal="center" vertical="top"/>
    </xf>
    <xf numFmtId="14" fontId="0" fillId="0" borderId="1" xfId="0" applyNumberFormat="1" applyBorder="1" applyAlignment="1">
      <alignment horizontal="center" vertical="top"/>
    </xf>
    <xf numFmtId="0" fontId="5" fillId="0" borderId="0" xfId="0" applyFont="1"/>
    <xf numFmtId="14"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horizontal="center" vertical="top"/>
    </xf>
    <xf numFmtId="0" fontId="0" fillId="2" borderId="0" xfId="0" applyFill="1" applyAlignment="1">
      <alignment horizontal="center"/>
    </xf>
    <xf numFmtId="0" fontId="6" fillId="3" borderId="0" xfId="0" applyFont="1" applyFill="1" applyAlignment="1">
      <alignment horizontal="center" vertical="center" readingOrder="1"/>
    </xf>
    <xf numFmtId="0" fontId="6" fillId="3" borderId="0" xfId="0" applyFont="1" applyFill="1" applyAlignment="1">
      <alignment horizontal="center" vertical="center"/>
    </xf>
    <xf numFmtId="0" fontId="7" fillId="3" borderId="0" xfId="0" applyFont="1" applyFill="1" applyAlignment="1">
      <alignment horizontal="center" vertical="center" readingOrder="1"/>
    </xf>
    <xf numFmtId="0" fontId="0" fillId="0" borderId="0" xfId="0" applyNumberFormat="1"/>
    <xf numFmtId="0" fontId="0" fillId="4" borderId="3" xfId="0" applyFont="1" applyFill="1" applyBorder="1"/>
    <xf numFmtId="0" fontId="0" fillId="0" borderId="3" xfId="0" applyFont="1" applyBorder="1"/>
    <xf numFmtId="0" fontId="10" fillId="3" borderId="0" xfId="0" applyFont="1" applyFill="1" applyAlignment="1">
      <alignment horizontal="center"/>
    </xf>
    <xf numFmtId="0" fontId="11" fillId="6" borderId="0" xfId="0" applyFont="1" applyFill="1" applyAlignment="1">
      <alignment horizontal="center" vertical="center"/>
    </xf>
    <xf numFmtId="0" fontId="12" fillId="6" borderId="0" xfId="0" applyFont="1" applyFill="1" applyAlignment="1">
      <alignment horizontal="center" vertical="center"/>
    </xf>
    <xf numFmtId="0" fontId="0" fillId="2" borderId="0" xfId="0" applyFont="1" applyFill="1" applyAlignment="1"/>
    <xf numFmtId="0" fontId="4" fillId="0" borderId="4" xfId="0" applyFont="1" applyBorder="1" applyAlignment="1">
      <alignment horizontal="center" vertical="top"/>
    </xf>
    <xf numFmtId="0" fontId="13" fillId="5" borderId="2" xfId="0" applyFont="1" applyFill="1" applyBorder="1" applyAlignment="1">
      <alignment horizontal="center" vertical="top"/>
    </xf>
    <xf numFmtId="0" fontId="0" fillId="0" borderId="1" xfId="0" applyBorder="1"/>
    <xf numFmtId="0" fontId="4" fillId="0" borderId="5" xfId="0" applyFont="1" applyBorder="1" applyAlignment="1">
      <alignment horizontal="center" vertical="top"/>
    </xf>
    <xf numFmtId="0" fontId="1" fillId="0" borderId="6" xfId="0" applyFont="1" applyBorder="1" applyAlignment="1">
      <alignment horizontal="center"/>
    </xf>
    <xf numFmtId="0" fontId="0" fillId="0" borderId="0" xfId="0" applyFill="1"/>
    <xf numFmtId="0" fontId="0" fillId="7" borderId="0" xfId="0" applyFill="1"/>
    <xf numFmtId="0" fontId="0" fillId="8" borderId="0" xfId="0" applyFill="1"/>
    <xf numFmtId="0" fontId="9" fillId="7" borderId="0" xfId="0" applyFont="1" applyFill="1"/>
    <xf numFmtId="0" fontId="9" fillId="0" borderId="0" xfId="0" applyFont="1"/>
  </cellXfs>
  <cellStyles count="1">
    <cellStyle name="Normal" xfId="0" builtinId="0"/>
  </cellStyles>
  <dxfs count="17">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bottom style="thin">
          <color rgb="FF000000"/>
        </bottom>
      </border>
    </dxf>
    <dxf>
      <border outline="0">
        <top style="thin">
          <color rgb="FF000000"/>
        </top>
      </border>
    </dxf>
    <dxf>
      <numFmt numFmtId="19" formatCode="dd/mm/yyyy"/>
    </dxf>
  </dxfs>
  <tableStyles count="0" defaultTableStyle="TableStyleMedium2" defaultPivotStyle="PivotStyleLight16"/>
  <colors>
    <mruColors>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04.xlsx]Q07A!PivotTable2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Accidents by Weather and Severity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Q07A!$E$14:$E$15</c:f>
              <c:strCache>
                <c:ptCount val="1"/>
                <c:pt idx="0">
                  <c:v>Clear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Q07A!$D$16:$D$20</c:f>
              <c:strCache>
                <c:ptCount val="4"/>
                <c:pt idx="0">
                  <c:v>Fatal</c:v>
                </c:pt>
                <c:pt idx="1">
                  <c:v>Minor</c:v>
                </c:pt>
                <c:pt idx="2">
                  <c:v>Moderate</c:v>
                </c:pt>
                <c:pt idx="3">
                  <c:v>Severe</c:v>
                </c:pt>
              </c:strCache>
            </c:strRef>
          </c:cat>
          <c:val>
            <c:numRef>
              <c:f>Q07A!$E$16:$E$20</c:f>
              <c:numCache>
                <c:formatCode>General</c:formatCode>
                <c:ptCount val="4"/>
                <c:pt idx="0">
                  <c:v>7</c:v>
                </c:pt>
                <c:pt idx="1">
                  <c:v>9</c:v>
                </c:pt>
                <c:pt idx="2">
                  <c:v>6</c:v>
                </c:pt>
                <c:pt idx="3">
                  <c:v>8</c:v>
                </c:pt>
              </c:numCache>
            </c:numRef>
          </c:val>
          <c:extLst>
            <c:ext xmlns:c16="http://schemas.microsoft.com/office/drawing/2014/chart" uri="{C3380CC4-5D6E-409C-BE32-E72D297353CC}">
              <c16:uniqueId val="{00000000-CBC1-4E46-B91A-2846A1A2868A}"/>
            </c:ext>
          </c:extLst>
        </c:ser>
        <c:ser>
          <c:idx val="1"/>
          <c:order val="1"/>
          <c:tx>
            <c:strRef>
              <c:f>Q07A!$F$14:$F$15</c:f>
              <c:strCache>
                <c:ptCount val="1"/>
                <c:pt idx="0">
                  <c:v>Foggy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Q07A!$D$16:$D$20</c:f>
              <c:strCache>
                <c:ptCount val="4"/>
                <c:pt idx="0">
                  <c:v>Fatal</c:v>
                </c:pt>
                <c:pt idx="1">
                  <c:v>Minor</c:v>
                </c:pt>
                <c:pt idx="2">
                  <c:v>Moderate</c:v>
                </c:pt>
                <c:pt idx="3">
                  <c:v>Severe</c:v>
                </c:pt>
              </c:strCache>
            </c:strRef>
          </c:cat>
          <c:val>
            <c:numRef>
              <c:f>Q07A!$F$16:$F$20</c:f>
              <c:numCache>
                <c:formatCode>General</c:formatCode>
                <c:ptCount val="4"/>
                <c:pt idx="0">
                  <c:v>5</c:v>
                </c:pt>
                <c:pt idx="1">
                  <c:v>6</c:v>
                </c:pt>
                <c:pt idx="2">
                  <c:v>4</c:v>
                </c:pt>
                <c:pt idx="3">
                  <c:v>8</c:v>
                </c:pt>
              </c:numCache>
            </c:numRef>
          </c:val>
          <c:extLst>
            <c:ext xmlns:c16="http://schemas.microsoft.com/office/drawing/2014/chart" uri="{C3380CC4-5D6E-409C-BE32-E72D297353CC}">
              <c16:uniqueId val="{00000001-CBC1-4E46-B91A-2846A1A2868A}"/>
            </c:ext>
          </c:extLst>
        </c:ser>
        <c:ser>
          <c:idx val="2"/>
          <c:order val="2"/>
          <c:tx>
            <c:strRef>
              <c:f>Q07A!$G$14:$G$15</c:f>
              <c:strCache>
                <c:ptCount val="1"/>
                <c:pt idx="0">
                  <c:v>Rainy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Q07A!$D$16:$D$20</c:f>
              <c:strCache>
                <c:ptCount val="4"/>
                <c:pt idx="0">
                  <c:v>Fatal</c:v>
                </c:pt>
                <c:pt idx="1">
                  <c:v>Minor</c:v>
                </c:pt>
                <c:pt idx="2">
                  <c:v>Moderate</c:v>
                </c:pt>
                <c:pt idx="3">
                  <c:v>Severe</c:v>
                </c:pt>
              </c:strCache>
            </c:strRef>
          </c:cat>
          <c:val>
            <c:numRef>
              <c:f>Q07A!$G$16:$G$20</c:f>
              <c:numCache>
                <c:formatCode>General</c:formatCode>
                <c:ptCount val="4"/>
                <c:pt idx="0">
                  <c:v>6</c:v>
                </c:pt>
                <c:pt idx="1">
                  <c:v>4</c:v>
                </c:pt>
                <c:pt idx="2">
                  <c:v>4</c:v>
                </c:pt>
                <c:pt idx="3">
                  <c:v>8</c:v>
                </c:pt>
              </c:numCache>
            </c:numRef>
          </c:val>
          <c:extLst>
            <c:ext xmlns:c16="http://schemas.microsoft.com/office/drawing/2014/chart" uri="{C3380CC4-5D6E-409C-BE32-E72D297353CC}">
              <c16:uniqueId val="{00000002-CBC1-4E46-B91A-2846A1A2868A}"/>
            </c:ext>
          </c:extLst>
        </c:ser>
        <c:ser>
          <c:idx val="3"/>
          <c:order val="3"/>
          <c:tx>
            <c:strRef>
              <c:f>Q07A!$H$14:$H$15</c:f>
              <c:strCache>
                <c:ptCount val="1"/>
                <c:pt idx="0">
                  <c:v>Windy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Q07A!$D$16:$D$20</c:f>
              <c:strCache>
                <c:ptCount val="4"/>
                <c:pt idx="0">
                  <c:v>Fatal</c:v>
                </c:pt>
                <c:pt idx="1">
                  <c:v>Minor</c:v>
                </c:pt>
                <c:pt idx="2">
                  <c:v>Moderate</c:v>
                </c:pt>
                <c:pt idx="3">
                  <c:v>Severe</c:v>
                </c:pt>
              </c:strCache>
            </c:strRef>
          </c:cat>
          <c:val>
            <c:numRef>
              <c:f>Q07A!$H$16:$H$20</c:f>
              <c:numCache>
                <c:formatCode>General</c:formatCode>
                <c:ptCount val="4"/>
                <c:pt idx="0">
                  <c:v>6</c:v>
                </c:pt>
                <c:pt idx="1">
                  <c:v>7</c:v>
                </c:pt>
                <c:pt idx="2">
                  <c:v>8</c:v>
                </c:pt>
                <c:pt idx="3">
                  <c:v>4</c:v>
                </c:pt>
              </c:numCache>
            </c:numRef>
          </c:val>
          <c:extLst>
            <c:ext xmlns:c16="http://schemas.microsoft.com/office/drawing/2014/chart" uri="{C3380CC4-5D6E-409C-BE32-E72D297353CC}">
              <c16:uniqueId val="{00000003-CBC1-4E46-B91A-2846A1A2868A}"/>
            </c:ext>
          </c:extLst>
        </c:ser>
        <c:dLbls>
          <c:dLblPos val="inEnd"/>
          <c:showLegendKey val="0"/>
          <c:showVal val="0"/>
          <c:showCatName val="0"/>
          <c:showSerName val="0"/>
          <c:showPercent val="0"/>
          <c:showBubbleSize val="0"/>
        </c:dLbls>
        <c:gapWidth val="150"/>
        <c:axId val="1846354303"/>
        <c:axId val="1846358623"/>
      </c:barChart>
      <c:catAx>
        <c:axId val="18463543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6358623"/>
        <c:crosses val="autoZero"/>
        <c:auto val="1"/>
        <c:lblAlgn val="ctr"/>
        <c:lblOffset val="100"/>
        <c:noMultiLvlLbl val="0"/>
      </c:catAx>
      <c:valAx>
        <c:axId val="18463586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635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04.xlsx]Q07A!PivotTable7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Accident Count by Road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Q07A!$B$3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A44-4F30-8D9D-3A839D2167B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A44-4F30-8D9D-3A839D2167B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A44-4F30-8D9D-3A839D2167B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A44-4F30-8D9D-3A839D2167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Q07A!$A$4:$A$8</c:f>
              <c:strCache>
                <c:ptCount val="4"/>
                <c:pt idx="0">
                  <c:v>Damaged</c:v>
                </c:pt>
                <c:pt idx="1">
                  <c:v>Dry</c:v>
                </c:pt>
                <c:pt idx="2">
                  <c:v>Under Construction</c:v>
                </c:pt>
                <c:pt idx="3">
                  <c:v>Wet</c:v>
                </c:pt>
              </c:strCache>
            </c:strRef>
          </c:cat>
          <c:val>
            <c:numRef>
              <c:f>Q07A!$B$4:$B$8</c:f>
              <c:numCache>
                <c:formatCode>General</c:formatCode>
                <c:ptCount val="4"/>
                <c:pt idx="0">
                  <c:v>27</c:v>
                </c:pt>
                <c:pt idx="1">
                  <c:v>23</c:v>
                </c:pt>
                <c:pt idx="2">
                  <c:v>28</c:v>
                </c:pt>
                <c:pt idx="3">
                  <c:v>22</c:v>
                </c:pt>
              </c:numCache>
            </c:numRef>
          </c:val>
          <c:extLst>
            <c:ext xmlns:c16="http://schemas.microsoft.com/office/drawing/2014/chart" uri="{C3380CC4-5D6E-409C-BE32-E72D297353CC}">
              <c16:uniqueId val="{00000000-DC4D-4724-8F80-AD43BDBBA4F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04.xlsx]Q07A!PivotTable1</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Accidents</a:t>
            </a:r>
            <a:r>
              <a:rPr lang="en-IN" baseline="0"/>
              <a:t> by casualities and vehicle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Q07A!$E$3:$E$4</c:f>
              <c:strCache>
                <c:ptCount val="1"/>
                <c:pt idx="0">
                  <c:v>Auto-Rickshaw</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invertIfNegative val="0"/>
          <c:cat>
            <c:strRef>
              <c:f>Q07A!$D$5:$D$11</c:f>
              <c:strCache>
                <c:ptCount val="6"/>
                <c:pt idx="0">
                  <c:v>Brake Failure</c:v>
                </c:pt>
                <c:pt idx="1">
                  <c:v>Distracted Driving</c:v>
                </c:pt>
                <c:pt idx="2">
                  <c:v>Drunk Driving</c:v>
                </c:pt>
                <c:pt idx="3">
                  <c:v>Overtaking</c:v>
                </c:pt>
                <c:pt idx="4">
                  <c:v>Speeding</c:v>
                </c:pt>
                <c:pt idx="5">
                  <c:v>Weather</c:v>
                </c:pt>
              </c:strCache>
            </c:strRef>
          </c:cat>
          <c:val>
            <c:numRef>
              <c:f>Q07A!$E$5:$E$11</c:f>
              <c:numCache>
                <c:formatCode>General</c:formatCode>
                <c:ptCount val="6"/>
                <c:pt idx="0">
                  <c:v>11</c:v>
                </c:pt>
                <c:pt idx="1">
                  <c:v>10</c:v>
                </c:pt>
                <c:pt idx="2">
                  <c:v>6</c:v>
                </c:pt>
                <c:pt idx="3">
                  <c:v>0</c:v>
                </c:pt>
                <c:pt idx="4">
                  <c:v>4</c:v>
                </c:pt>
                <c:pt idx="5">
                  <c:v>5</c:v>
                </c:pt>
              </c:numCache>
            </c:numRef>
          </c:val>
          <c:extLst>
            <c:ext xmlns:c16="http://schemas.microsoft.com/office/drawing/2014/chart" uri="{C3380CC4-5D6E-409C-BE32-E72D297353CC}">
              <c16:uniqueId val="{00000000-D606-47B0-9502-593136C21582}"/>
            </c:ext>
          </c:extLst>
        </c:ser>
        <c:ser>
          <c:idx val="1"/>
          <c:order val="1"/>
          <c:tx>
            <c:strRef>
              <c:f>Q07A!$F$3:$F$4</c:f>
              <c:strCache>
                <c:ptCount val="1"/>
                <c:pt idx="0">
                  <c:v>Bicycle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invertIfNegative val="0"/>
          <c:cat>
            <c:strRef>
              <c:f>Q07A!$D$5:$D$11</c:f>
              <c:strCache>
                <c:ptCount val="6"/>
                <c:pt idx="0">
                  <c:v>Brake Failure</c:v>
                </c:pt>
                <c:pt idx="1">
                  <c:v>Distracted Driving</c:v>
                </c:pt>
                <c:pt idx="2">
                  <c:v>Drunk Driving</c:v>
                </c:pt>
                <c:pt idx="3">
                  <c:v>Overtaking</c:v>
                </c:pt>
                <c:pt idx="4">
                  <c:v>Speeding</c:v>
                </c:pt>
                <c:pt idx="5">
                  <c:v>Weather</c:v>
                </c:pt>
              </c:strCache>
            </c:strRef>
          </c:cat>
          <c:val>
            <c:numRef>
              <c:f>Q07A!$F$5:$F$11</c:f>
              <c:numCache>
                <c:formatCode>General</c:formatCode>
                <c:ptCount val="6"/>
                <c:pt idx="0">
                  <c:v>16</c:v>
                </c:pt>
                <c:pt idx="1">
                  <c:v>0</c:v>
                </c:pt>
                <c:pt idx="2">
                  <c:v>7</c:v>
                </c:pt>
                <c:pt idx="3">
                  <c:v>3</c:v>
                </c:pt>
                <c:pt idx="4">
                  <c:v>6</c:v>
                </c:pt>
                <c:pt idx="5">
                  <c:v>6</c:v>
                </c:pt>
              </c:numCache>
            </c:numRef>
          </c:val>
          <c:extLst>
            <c:ext xmlns:c16="http://schemas.microsoft.com/office/drawing/2014/chart" uri="{C3380CC4-5D6E-409C-BE32-E72D297353CC}">
              <c16:uniqueId val="{00000006-902C-4B3E-955C-70E69AB59E35}"/>
            </c:ext>
          </c:extLst>
        </c:ser>
        <c:ser>
          <c:idx val="2"/>
          <c:order val="2"/>
          <c:tx>
            <c:strRef>
              <c:f>Q07A!$G$3:$G$4</c:f>
              <c:strCache>
                <c:ptCount val="1"/>
                <c:pt idx="0">
                  <c:v>Bus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invertIfNegative val="0"/>
          <c:cat>
            <c:strRef>
              <c:f>Q07A!$D$5:$D$11</c:f>
              <c:strCache>
                <c:ptCount val="6"/>
                <c:pt idx="0">
                  <c:v>Brake Failure</c:v>
                </c:pt>
                <c:pt idx="1">
                  <c:v>Distracted Driving</c:v>
                </c:pt>
                <c:pt idx="2">
                  <c:v>Drunk Driving</c:v>
                </c:pt>
                <c:pt idx="3">
                  <c:v>Overtaking</c:v>
                </c:pt>
                <c:pt idx="4">
                  <c:v>Speeding</c:v>
                </c:pt>
                <c:pt idx="5">
                  <c:v>Weather</c:v>
                </c:pt>
              </c:strCache>
            </c:strRef>
          </c:cat>
          <c:val>
            <c:numRef>
              <c:f>Q07A!$G$5:$G$11</c:f>
              <c:numCache>
                <c:formatCode>General</c:formatCode>
                <c:ptCount val="6"/>
                <c:pt idx="0">
                  <c:v>3</c:v>
                </c:pt>
                <c:pt idx="1">
                  <c:v>5</c:v>
                </c:pt>
                <c:pt idx="2">
                  <c:v>9</c:v>
                </c:pt>
                <c:pt idx="3">
                  <c:v>8</c:v>
                </c:pt>
                <c:pt idx="4">
                  <c:v>9</c:v>
                </c:pt>
                <c:pt idx="5">
                  <c:v>0</c:v>
                </c:pt>
              </c:numCache>
            </c:numRef>
          </c:val>
          <c:extLst>
            <c:ext xmlns:c16="http://schemas.microsoft.com/office/drawing/2014/chart" uri="{C3380CC4-5D6E-409C-BE32-E72D297353CC}">
              <c16:uniqueId val="{0000000B-902C-4B3E-955C-70E69AB59E35}"/>
            </c:ext>
          </c:extLst>
        </c:ser>
        <c:ser>
          <c:idx val="3"/>
          <c:order val="3"/>
          <c:tx>
            <c:strRef>
              <c:f>Q07A!$H$3:$H$4</c:f>
              <c:strCache>
                <c:ptCount val="1"/>
                <c:pt idx="0">
                  <c:v>Car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invertIfNegative val="0"/>
          <c:cat>
            <c:strRef>
              <c:f>Q07A!$D$5:$D$11</c:f>
              <c:strCache>
                <c:ptCount val="6"/>
                <c:pt idx="0">
                  <c:v>Brake Failure</c:v>
                </c:pt>
                <c:pt idx="1">
                  <c:v>Distracted Driving</c:v>
                </c:pt>
                <c:pt idx="2">
                  <c:v>Drunk Driving</c:v>
                </c:pt>
                <c:pt idx="3">
                  <c:v>Overtaking</c:v>
                </c:pt>
                <c:pt idx="4">
                  <c:v>Speeding</c:v>
                </c:pt>
                <c:pt idx="5">
                  <c:v>Weather</c:v>
                </c:pt>
              </c:strCache>
            </c:strRef>
          </c:cat>
          <c:val>
            <c:numRef>
              <c:f>Q07A!$H$5:$H$11</c:f>
              <c:numCache>
                <c:formatCode>General</c:formatCode>
                <c:ptCount val="6"/>
                <c:pt idx="0">
                  <c:v>3</c:v>
                </c:pt>
                <c:pt idx="1">
                  <c:v>0</c:v>
                </c:pt>
                <c:pt idx="2">
                  <c:v>19</c:v>
                </c:pt>
                <c:pt idx="3">
                  <c:v>7</c:v>
                </c:pt>
                <c:pt idx="4">
                  <c:v>15</c:v>
                </c:pt>
                <c:pt idx="5">
                  <c:v>6</c:v>
                </c:pt>
              </c:numCache>
            </c:numRef>
          </c:val>
          <c:extLst>
            <c:ext xmlns:c16="http://schemas.microsoft.com/office/drawing/2014/chart" uri="{C3380CC4-5D6E-409C-BE32-E72D297353CC}">
              <c16:uniqueId val="{0000000C-902C-4B3E-955C-70E69AB59E35}"/>
            </c:ext>
          </c:extLst>
        </c:ser>
        <c:ser>
          <c:idx val="4"/>
          <c:order val="4"/>
          <c:tx>
            <c:strRef>
              <c:f>Q07A!$I$3:$I$4</c:f>
              <c:strCache>
                <c:ptCount val="1"/>
                <c:pt idx="0">
                  <c:v>Motorcycle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invertIfNegative val="0"/>
          <c:cat>
            <c:strRef>
              <c:f>Q07A!$D$5:$D$11</c:f>
              <c:strCache>
                <c:ptCount val="6"/>
                <c:pt idx="0">
                  <c:v>Brake Failure</c:v>
                </c:pt>
                <c:pt idx="1">
                  <c:v>Distracted Driving</c:v>
                </c:pt>
                <c:pt idx="2">
                  <c:v>Drunk Driving</c:v>
                </c:pt>
                <c:pt idx="3">
                  <c:v>Overtaking</c:v>
                </c:pt>
                <c:pt idx="4">
                  <c:v>Speeding</c:v>
                </c:pt>
                <c:pt idx="5">
                  <c:v>Weather</c:v>
                </c:pt>
              </c:strCache>
            </c:strRef>
          </c:cat>
          <c:val>
            <c:numRef>
              <c:f>Q07A!$I$5:$I$11</c:f>
              <c:numCache>
                <c:formatCode>General</c:formatCode>
                <c:ptCount val="6"/>
                <c:pt idx="0">
                  <c:v>4</c:v>
                </c:pt>
                <c:pt idx="1">
                  <c:v>14</c:v>
                </c:pt>
                <c:pt idx="2">
                  <c:v>5</c:v>
                </c:pt>
                <c:pt idx="3">
                  <c:v>14</c:v>
                </c:pt>
                <c:pt idx="4">
                  <c:v>10</c:v>
                </c:pt>
                <c:pt idx="5">
                  <c:v>10</c:v>
                </c:pt>
              </c:numCache>
            </c:numRef>
          </c:val>
          <c:extLst>
            <c:ext xmlns:c16="http://schemas.microsoft.com/office/drawing/2014/chart" uri="{C3380CC4-5D6E-409C-BE32-E72D297353CC}">
              <c16:uniqueId val="{0000000D-902C-4B3E-955C-70E69AB59E35}"/>
            </c:ext>
          </c:extLst>
        </c:ser>
        <c:ser>
          <c:idx val="5"/>
          <c:order val="5"/>
          <c:tx>
            <c:strRef>
              <c:f>Q07A!$J$3:$J$4</c:f>
              <c:strCache>
                <c:ptCount val="1"/>
                <c:pt idx="0">
                  <c:v>Truck</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invertIfNegative val="0"/>
          <c:cat>
            <c:strRef>
              <c:f>Q07A!$D$5:$D$11</c:f>
              <c:strCache>
                <c:ptCount val="6"/>
                <c:pt idx="0">
                  <c:v>Brake Failure</c:v>
                </c:pt>
                <c:pt idx="1">
                  <c:v>Distracted Driving</c:v>
                </c:pt>
                <c:pt idx="2">
                  <c:v>Drunk Driving</c:v>
                </c:pt>
                <c:pt idx="3">
                  <c:v>Overtaking</c:v>
                </c:pt>
                <c:pt idx="4">
                  <c:v>Speeding</c:v>
                </c:pt>
                <c:pt idx="5">
                  <c:v>Weather</c:v>
                </c:pt>
              </c:strCache>
            </c:strRef>
          </c:cat>
          <c:val>
            <c:numRef>
              <c:f>Q07A!$J$5:$J$11</c:f>
              <c:numCache>
                <c:formatCode>General</c:formatCode>
                <c:ptCount val="6"/>
                <c:pt idx="0">
                  <c:v>6</c:v>
                </c:pt>
                <c:pt idx="1">
                  <c:v>5</c:v>
                </c:pt>
                <c:pt idx="2">
                  <c:v>8</c:v>
                </c:pt>
                <c:pt idx="3">
                  <c:v>0</c:v>
                </c:pt>
                <c:pt idx="4">
                  <c:v>8</c:v>
                </c:pt>
                <c:pt idx="5">
                  <c:v>10</c:v>
                </c:pt>
              </c:numCache>
            </c:numRef>
          </c:val>
          <c:extLst>
            <c:ext xmlns:c16="http://schemas.microsoft.com/office/drawing/2014/chart" uri="{C3380CC4-5D6E-409C-BE32-E72D297353CC}">
              <c16:uniqueId val="{0000000E-902C-4B3E-955C-70E69AB59E35}"/>
            </c:ext>
          </c:extLst>
        </c:ser>
        <c:dLbls>
          <c:showLegendKey val="0"/>
          <c:showVal val="0"/>
          <c:showCatName val="0"/>
          <c:showSerName val="0"/>
          <c:showPercent val="0"/>
          <c:showBubbleSize val="0"/>
        </c:dLbls>
        <c:gapWidth val="150"/>
        <c:axId val="770033200"/>
        <c:axId val="770034160"/>
      </c:barChart>
      <c:catAx>
        <c:axId val="770033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0034160"/>
        <c:crosses val="autoZero"/>
        <c:auto val="1"/>
        <c:lblAlgn val="ctr"/>
        <c:lblOffset val="100"/>
        <c:noMultiLvlLbl val="0"/>
      </c:catAx>
      <c:valAx>
        <c:axId val="7700341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003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04.xlsx]Q07A!PivotTable3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Accidents Trend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a:scene3d>
            <a:camera prst="orthographicFront"/>
            <a:lightRig rig="threePt" dir="t"/>
          </a:scene3d>
          <a:sp3d>
            <a:bevel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Q07A!$B$11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a:scene3d>
              <a:camera prst="orthographicFront"/>
              <a:lightRig rig="threePt" dir="t"/>
            </a:scene3d>
            <a:sp3d>
              <a:bevelT/>
            </a:sp3d>
          </c:spPr>
          <c:invertIfNegative val="0"/>
          <c:cat>
            <c:strRef>
              <c:f>Q07A!$A$12:$A$18</c:f>
              <c:strCache>
                <c:ptCount val="6"/>
                <c:pt idx="0">
                  <c:v>Jan</c:v>
                </c:pt>
                <c:pt idx="1">
                  <c:v>Feb</c:v>
                </c:pt>
                <c:pt idx="2">
                  <c:v>Mar</c:v>
                </c:pt>
                <c:pt idx="3">
                  <c:v>Apr</c:v>
                </c:pt>
                <c:pt idx="4">
                  <c:v>May</c:v>
                </c:pt>
                <c:pt idx="5">
                  <c:v>Jun</c:v>
                </c:pt>
              </c:strCache>
            </c:strRef>
          </c:cat>
          <c:val>
            <c:numRef>
              <c:f>Q07A!$B$12:$B$18</c:f>
              <c:numCache>
                <c:formatCode>General</c:formatCode>
                <c:ptCount val="6"/>
                <c:pt idx="0">
                  <c:v>21</c:v>
                </c:pt>
                <c:pt idx="1">
                  <c:v>11</c:v>
                </c:pt>
                <c:pt idx="2">
                  <c:v>22</c:v>
                </c:pt>
                <c:pt idx="3">
                  <c:v>15</c:v>
                </c:pt>
                <c:pt idx="4">
                  <c:v>15</c:v>
                </c:pt>
                <c:pt idx="5">
                  <c:v>16</c:v>
                </c:pt>
              </c:numCache>
            </c:numRef>
          </c:val>
          <c:extLst>
            <c:ext xmlns:c16="http://schemas.microsoft.com/office/drawing/2014/chart" uri="{C3380CC4-5D6E-409C-BE32-E72D297353CC}">
              <c16:uniqueId val="{00000000-73A6-4AB7-8570-2B8837C54CAF}"/>
            </c:ext>
          </c:extLst>
        </c:ser>
        <c:dLbls>
          <c:showLegendKey val="0"/>
          <c:showVal val="0"/>
          <c:showCatName val="0"/>
          <c:showSerName val="0"/>
          <c:showPercent val="0"/>
          <c:showBubbleSize val="0"/>
        </c:dLbls>
        <c:gapWidth val="100"/>
        <c:overlap val="-24"/>
        <c:axId val="945865328"/>
        <c:axId val="945866288"/>
      </c:barChart>
      <c:catAx>
        <c:axId val="945865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5866288"/>
        <c:crosses val="autoZero"/>
        <c:auto val="1"/>
        <c:lblAlgn val="ctr"/>
        <c:lblOffset val="100"/>
        <c:noMultiLvlLbl val="0"/>
      </c:catAx>
      <c:valAx>
        <c:axId val="9458662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586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12262</xdr:colOff>
      <xdr:row>3</xdr:row>
      <xdr:rowOff>0</xdr:rowOff>
    </xdr:from>
    <xdr:to>
      <xdr:col>10</xdr:col>
      <xdr:colOff>0</xdr:colOff>
      <xdr:row>18</xdr:row>
      <xdr:rowOff>720</xdr:rowOff>
    </xdr:to>
    <xdr:graphicFrame macro="">
      <xdr:nvGraphicFramePr>
        <xdr:cNvPr id="3" name="Chart 2">
          <a:extLst>
            <a:ext uri="{FF2B5EF4-FFF2-40B4-BE49-F238E27FC236}">
              <a16:creationId xmlns:a16="http://schemas.microsoft.com/office/drawing/2014/main" id="{DE14CF76-00EC-41EB-9465-3D70489C6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12785</xdr:colOff>
      <xdr:row>3</xdr:row>
      <xdr:rowOff>0</xdr:rowOff>
    </xdr:from>
    <xdr:to>
      <xdr:col>20</xdr:col>
      <xdr:colOff>0</xdr:colOff>
      <xdr:row>18</xdr:row>
      <xdr:rowOff>897</xdr:rowOff>
    </xdr:to>
    <xdr:graphicFrame macro="">
      <xdr:nvGraphicFramePr>
        <xdr:cNvPr id="2" name="Chart 1">
          <a:extLst>
            <a:ext uri="{FF2B5EF4-FFF2-40B4-BE49-F238E27FC236}">
              <a16:creationId xmlns:a16="http://schemas.microsoft.com/office/drawing/2014/main" id="{B68228F6-D33A-42D0-B0F5-AB63128E7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609599</xdr:colOff>
      <xdr:row>19</xdr:row>
      <xdr:rowOff>9070</xdr:rowOff>
    </xdr:from>
    <xdr:to>
      <xdr:col>10</xdr:col>
      <xdr:colOff>0</xdr:colOff>
      <xdr:row>33</xdr:row>
      <xdr:rowOff>180141</xdr:rowOff>
    </xdr:to>
    <xdr:graphicFrame macro="">
      <xdr:nvGraphicFramePr>
        <xdr:cNvPr id="5" name="Chart 4">
          <a:extLst>
            <a:ext uri="{FF2B5EF4-FFF2-40B4-BE49-F238E27FC236}">
              <a16:creationId xmlns:a16="http://schemas.microsoft.com/office/drawing/2014/main" id="{C8FE04A2-79E3-4E6A-A16C-BF4869868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17437</xdr:colOff>
      <xdr:row>19</xdr:row>
      <xdr:rowOff>9304</xdr:rowOff>
    </xdr:from>
    <xdr:to>
      <xdr:col>19</xdr:col>
      <xdr:colOff>594752</xdr:colOff>
      <xdr:row>33</xdr:row>
      <xdr:rowOff>180218</xdr:rowOff>
    </xdr:to>
    <xdr:graphicFrame macro="">
      <xdr:nvGraphicFramePr>
        <xdr:cNvPr id="6" name="Chart 5">
          <a:extLst>
            <a:ext uri="{FF2B5EF4-FFF2-40B4-BE49-F238E27FC236}">
              <a16:creationId xmlns:a16="http://schemas.microsoft.com/office/drawing/2014/main" id="{3E45F3F8-BDF9-44E4-87EB-C095F9197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9</xdr:row>
      <xdr:rowOff>61049</xdr:rowOff>
    </xdr:from>
    <xdr:to>
      <xdr:col>12</xdr:col>
      <xdr:colOff>0</xdr:colOff>
      <xdr:row>19</xdr:row>
      <xdr:rowOff>0</xdr:rowOff>
    </xdr:to>
    <mc:AlternateContent xmlns:mc="http://schemas.openxmlformats.org/markup-compatibility/2006">
      <mc:Choice xmlns:a14="http://schemas.microsoft.com/office/drawing/2010/main" Requires="a14">
        <xdr:graphicFrame macro="">
          <xdr:nvGraphicFramePr>
            <xdr:cNvPr id="7" name="Location">
              <a:extLst>
                <a:ext uri="{FF2B5EF4-FFF2-40B4-BE49-F238E27FC236}">
                  <a16:creationId xmlns:a16="http://schemas.microsoft.com/office/drawing/2014/main" id="{C61DD4EB-DE4A-4E32-8834-5BA64265076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6102597" y="1693906"/>
              <a:ext cx="1220520" cy="17532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19</xdr:row>
      <xdr:rowOff>33201</xdr:rowOff>
    </xdr:from>
    <xdr:to>
      <xdr:col>12</xdr:col>
      <xdr:colOff>4800</xdr:colOff>
      <xdr:row>27</xdr:row>
      <xdr:rowOff>0</xdr:rowOff>
    </xdr:to>
    <mc:AlternateContent xmlns:mc="http://schemas.openxmlformats.org/markup-compatibility/2006">
      <mc:Choice xmlns:a14="http://schemas.microsoft.com/office/drawing/2010/main" Requires="a14">
        <xdr:graphicFrame macro="">
          <xdr:nvGraphicFramePr>
            <xdr:cNvPr id="8" name="Cause 1">
              <a:extLst>
                <a:ext uri="{FF2B5EF4-FFF2-40B4-BE49-F238E27FC236}">
                  <a16:creationId xmlns:a16="http://schemas.microsoft.com/office/drawing/2014/main" id="{E0A05674-86C9-3FEE-FE04-771C7874033E}"/>
                </a:ext>
              </a:extLst>
            </xdr:cNvPr>
            <xdr:cNvGraphicFramePr/>
          </xdr:nvGraphicFramePr>
          <xdr:xfrm>
            <a:off x="0" y="0"/>
            <a:ext cx="0" cy="0"/>
          </xdr:xfrm>
          <a:graphic>
            <a:graphicData uri="http://schemas.microsoft.com/office/drawing/2010/slicer">
              <sle:slicer xmlns:sle="http://schemas.microsoft.com/office/drawing/2010/slicer" name="Cause 1"/>
            </a:graphicData>
          </a:graphic>
        </xdr:graphicFrame>
      </mc:Choice>
      <mc:Fallback>
        <xdr:sp macro="" textlink="">
          <xdr:nvSpPr>
            <xdr:cNvPr id="0" name=""/>
            <xdr:cNvSpPr>
              <a:spLocks noTextEdit="1"/>
            </xdr:cNvSpPr>
          </xdr:nvSpPr>
          <xdr:spPr>
            <a:xfrm>
              <a:off x="6102597" y="3480344"/>
              <a:ext cx="1225320" cy="1418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27</xdr:row>
      <xdr:rowOff>66405</xdr:rowOff>
    </xdr:from>
    <xdr:to>
      <xdr:col>12</xdr:col>
      <xdr:colOff>0</xdr:colOff>
      <xdr:row>34</xdr:row>
      <xdr:rowOff>0</xdr:rowOff>
    </xdr:to>
    <mc:AlternateContent xmlns:mc="http://schemas.openxmlformats.org/markup-compatibility/2006">
      <mc:Choice xmlns:a14="http://schemas.microsoft.com/office/drawing/2010/main" Requires="a14">
        <xdr:graphicFrame macro="">
          <xdr:nvGraphicFramePr>
            <xdr:cNvPr id="13" name="Weather Condition 1">
              <a:extLst>
                <a:ext uri="{FF2B5EF4-FFF2-40B4-BE49-F238E27FC236}">
                  <a16:creationId xmlns:a16="http://schemas.microsoft.com/office/drawing/2014/main" id="{46CB5FBB-21A6-EB4C-1319-5BC506AF033A}"/>
                </a:ext>
              </a:extLst>
            </xdr:cNvPr>
            <xdr:cNvGraphicFramePr/>
          </xdr:nvGraphicFramePr>
          <xdr:xfrm>
            <a:off x="0" y="0"/>
            <a:ext cx="0" cy="0"/>
          </xdr:xfrm>
          <a:graphic>
            <a:graphicData uri="http://schemas.microsoft.com/office/drawing/2010/slicer">
              <sle:slicer xmlns:sle="http://schemas.microsoft.com/office/drawing/2010/slicer" name="Weather Condition 1"/>
            </a:graphicData>
          </a:graphic>
        </xdr:graphicFrame>
      </mc:Choice>
      <mc:Fallback>
        <xdr:sp macro="" textlink="">
          <xdr:nvSpPr>
            <xdr:cNvPr id="0" name=""/>
            <xdr:cNvSpPr>
              <a:spLocks noTextEdit="1"/>
            </xdr:cNvSpPr>
          </xdr:nvSpPr>
          <xdr:spPr>
            <a:xfrm>
              <a:off x="6102597" y="4964976"/>
              <a:ext cx="1220520" cy="1203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606459</xdr:colOff>
      <xdr:row>3</xdr:row>
      <xdr:rowOff>0</xdr:rowOff>
    </xdr:from>
    <xdr:to>
      <xdr:col>11</xdr:col>
      <xdr:colOff>605388</xdr:colOff>
      <xdr:row>9</xdr:row>
      <xdr:rowOff>0</xdr:rowOff>
    </xdr:to>
    <mc:AlternateContent xmlns:mc="http://schemas.openxmlformats.org/markup-compatibility/2006">
      <mc:Choice xmlns:a14="http://schemas.microsoft.com/office/drawing/2010/main" Requires="a14">
        <xdr:graphicFrame macro="">
          <xdr:nvGraphicFramePr>
            <xdr:cNvPr id="14" name="Severity 1">
              <a:extLst>
                <a:ext uri="{FF2B5EF4-FFF2-40B4-BE49-F238E27FC236}">
                  <a16:creationId xmlns:a16="http://schemas.microsoft.com/office/drawing/2014/main" id="{F4F566C6-64EF-DE9A-3450-200C5B9569AE}"/>
                </a:ext>
              </a:extLst>
            </xdr:cNvPr>
            <xdr:cNvGraphicFramePr/>
          </xdr:nvGraphicFramePr>
          <xdr:xfrm>
            <a:off x="0" y="0"/>
            <a:ext cx="0" cy="0"/>
          </xdr:xfrm>
          <a:graphic>
            <a:graphicData uri="http://schemas.microsoft.com/office/drawing/2010/slicer">
              <sle:slicer xmlns:sle="http://schemas.microsoft.com/office/drawing/2010/slicer" name="Severity 1"/>
            </a:graphicData>
          </a:graphic>
        </xdr:graphicFrame>
      </mc:Choice>
      <mc:Fallback>
        <xdr:sp macro="" textlink="">
          <xdr:nvSpPr>
            <xdr:cNvPr id="0" name=""/>
            <xdr:cNvSpPr>
              <a:spLocks noTextEdit="1"/>
            </xdr:cNvSpPr>
          </xdr:nvSpPr>
          <xdr:spPr>
            <a:xfrm>
              <a:off x="6098797" y="544286"/>
              <a:ext cx="1219448" cy="1088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0</xdr:row>
      <xdr:rowOff>86182</xdr:rowOff>
    </xdr:from>
    <xdr:to>
      <xdr:col>15</xdr:col>
      <xdr:colOff>0</xdr:colOff>
      <xdr:row>3</xdr:row>
      <xdr:rowOff>0</xdr:rowOff>
    </xdr:to>
    <xdr:sp macro="" textlink="">
      <xdr:nvSpPr>
        <xdr:cNvPr id="16" name="Rectangle: Rounded Corners 15">
          <a:extLst>
            <a:ext uri="{FF2B5EF4-FFF2-40B4-BE49-F238E27FC236}">
              <a16:creationId xmlns:a16="http://schemas.microsoft.com/office/drawing/2014/main" id="{72F1C429-5E7C-FF51-CF95-F61E7B8779FE}"/>
            </a:ext>
          </a:extLst>
        </xdr:cNvPr>
        <xdr:cNvSpPr/>
      </xdr:nvSpPr>
      <xdr:spPr>
        <a:xfrm>
          <a:off x="4283364" y="86182"/>
          <a:ext cx="4895272" cy="46800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ctr"/>
          <a:r>
            <a:rPr lang="en-IN" sz="2000" b="1">
              <a:effectLst>
                <a:glow rad="228600">
                  <a:schemeClr val="accent4">
                    <a:satMod val="175000"/>
                    <a:alpha val="40000"/>
                  </a:schemeClr>
                </a:glow>
              </a:effectLst>
            </a:rPr>
            <a:t>ROAD</a:t>
          </a:r>
          <a:r>
            <a:rPr lang="en-IN" sz="2000" b="1" baseline="0">
              <a:effectLst>
                <a:glow rad="228600">
                  <a:schemeClr val="accent4">
                    <a:satMod val="175000"/>
                    <a:alpha val="40000"/>
                  </a:schemeClr>
                </a:glow>
              </a:effectLst>
            </a:rPr>
            <a:t> ACCIDENTS  DASHBOARD</a:t>
          </a:r>
          <a:endParaRPr lang="en-IN" sz="2000" b="1">
            <a:effectLst>
              <a:glow rad="228600">
                <a:schemeClr val="accent4">
                  <a:satMod val="175000"/>
                  <a:alpha val="40000"/>
                </a:schemeClr>
              </a:glo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XMI GUPTA" refreshedDate="45962.564700810188" createdVersion="8" refreshedVersion="8" minRefreshableVersion="3" recordCount="100" xr:uid="{4A7EEA8E-1F78-4997-8ADA-768F35599165}">
  <cacheSource type="worksheet">
    <worksheetSource name="Table1"/>
  </cacheSource>
  <cacheFields count="12">
    <cacheField name="Accident ID" numFmtId="0">
      <sharedItems/>
    </cacheField>
    <cacheField name="Date" numFmtId="14">
      <sharedItems containsSemiMixedTypes="0" containsNonDate="0" containsDate="1" containsString="0" minDate="2024-01-01T00:00:00" maxDate="2024-06-27T00:00:00" count="81">
        <d v="2024-01-01T00:00:00"/>
        <d v="2024-03-29T00:00:00"/>
        <d v="2024-01-05T00:00:00"/>
        <d v="2024-06-02T00:00:00"/>
        <d v="2024-02-28T00:00:00"/>
        <d v="2024-04-17T00:00:00"/>
        <d v="2024-02-16T00:00:00"/>
        <d v="2024-03-18T00:00:00"/>
        <d v="2024-05-13T00:00:00"/>
        <d v="2024-01-16T00:00:00"/>
        <d v="2024-01-08T00:00:00"/>
        <d v="2024-06-25T00:00:00"/>
        <d v="2024-04-02T00:00:00"/>
        <d v="2024-03-27T00:00:00"/>
        <d v="2024-05-19T00:00:00"/>
        <d v="2024-03-03T00:00:00"/>
        <d v="2024-03-08T00:00:00"/>
        <d v="2024-06-26T00:00:00"/>
        <d v="2024-01-26T00:00:00"/>
        <d v="2024-02-05T00:00:00"/>
        <d v="2024-06-07T00:00:00"/>
        <d v="2024-02-24T00:00:00"/>
        <d v="2024-06-04T00:00:00"/>
        <d v="2024-05-30T00:00:00"/>
        <d v="2024-04-04T00:00:00"/>
        <d v="2024-05-10T00:00:00"/>
        <d v="2024-03-02T00:00:00"/>
        <d v="2024-04-16T00:00:00"/>
        <d v="2024-06-09T00:00:00"/>
        <d v="2024-02-25T00:00:00"/>
        <d v="2024-06-24T00:00:00"/>
        <d v="2024-04-21T00:00:00"/>
        <d v="2024-01-02T00:00:00"/>
        <d v="2024-05-24T00:00:00"/>
        <d v="2024-01-23T00:00:00"/>
        <d v="2024-04-26T00:00:00"/>
        <d v="2024-03-14T00:00:00"/>
        <d v="2024-01-10T00:00:00"/>
        <d v="2024-04-28T00:00:00"/>
        <d v="2024-03-19T00:00:00"/>
        <d v="2024-03-20T00:00:00"/>
        <d v="2024-05-05T00:00:00"/>
        <d v="2024-04-20T00:00:00"/>
        <d v="2024-06-23T00:00:00"/>
        <d v="2024-04-01T00:00:00"/>
        <d v="2024-01-20T00:00:00"/>
        <d v="2024-02-23T00:00:00"/>
        <d v="2024-05-21T00:00:00"/>
        <d v="2024-03-23T00:00:00"/>
        <d v="2024-03-16T00:00:00"/>
        <d v="2024-05-14T00:00:00"/>
        <d v="2024-05-11T00:00:00"/>
        <d v="2024-03-04T00:00:00"/>
        <d v="2024-06-10T00:00:00"/>
        <d v="2024-03-09T00:00:00"/>
        <d v="2024-02-15T00:00:00"/>
        <d v="2024-01-11T00:00:00"/>
        <d v="2024-05-18T00:00:00"/>
        <d v="2024-06-05T00:00:00"/>
        <d v="2024-03-01T00:00:00"/>
        <d v="2024-06-17T00:00:00"/>
        <d v="2024-05-25T00:00:00"/>
        <d v="2024-02-08T00:00:00"/>
        <d v="2024-03-31T00:00:00"/>
        <d v="2024-02-07T00:00:00"/>
        <d v="2024-03-24T00:00:00"/>
        <d v="2024-01-29T00:00:00"/>
        <d v="2024-04-22T00:00:00"/>
        <d v="2024-05-12T00:00:00"/>
        <d v="2024-01-28T00:00:00"/>
        <d v="2024-01-17T00:00:00"/>
        <d v="2024-06-14T00:00:00"/>
        <d v="2024-03-22T00:00:00"/>
        <d v="2024-01-03T00:00:00"/>
        <d v="2024-06-15T00:00:00"/>
        <d v="2024-04-07T00:00:00"/>
        <d v="2024-06-13T00:00:00"/>
        <d v="2024-02-20T00:00:00"/>
        <d v="2024-01-22T00:00:00"/>
        <d v="2024-04-08T00:00:00"/>
        <d v="2024-06-21T00:00:00"/>
      </sharedItems>
      <fieldGroup par="11"/>
    </cacheField>
    <cacheField name="Location" numFmtId="0">
      <sharedItems count="8">
        <s v="Hyderabad"/>
        <s v="Mumbai"/>
        <s v="Pune"/>
        <s v="Bangalore"/>
        <s v="Delhi"/>
        <s v="Ahmedabad"/>
        <s v="Chennai"/>
        <s v="Kolkata"/>
      </sharedItems>
    </cacheField>
    <cacheField name="Accident Type" numFmtId="0">
      <sharedItems count="5">
        <s v="Overturn"/>
        <s v="Collision"/>
        <s v="Animal Hit"/>
        <s v="Object Hit"/>
        <s v="Pedestrian Hit"/>
      </sharedItems>
    </cacheField>
    <cacheField name="Vehicle Type" numFmtId="0">
      <sharedItems count="6">
        <s v="Auto-Rickshaw"/>
        <s v="Bicycle"/>
        <s v="Truck"/>
        <s v="Car"/>
        <s v="Motorcycle"/>
        <s v="Bus"/>
      </sharedItems>
    </cacheField>
    <cacheField name="Weather Condition" numFmtId="0">
      <sharedItems count="4">
        <s v="Clear"/>
        <s v="Foggy"/>
        <s v="Windy"/>
        <s v="Rainy"/>
      </sharedItems>
    </cacheField>
    <cacheField name="Road Condition" numFmtId="0">
      <sharedItems count="4">
        <s v="Dry"/>
        <s v="Damaged"/>
        <s v="Under Construction"/>
        <s v="Wet"/>
      </sharedItems>
    </cacheField>
    <cacheField name="Severity" numFmtId="0">
      <sharedItems count="4">
        <s v="Moderate"/>
        <s v="Fatal"/>
        <s v="Minor"/>
        <s v="Severe"/>
      </sharedItems>
    </cacheField>
    <cacheField name="Cause" numFmtId="0">
      <sharedItems count="6">
        <s v="Overtaking"/>
        <s v="Distracted Driving"/>
        <s v="Brake Failure"/>
        <s v="Weather"/>
        <s v="Drunk Driving"/>
        <s v="Speeding"/>
      </sharedItems>
    </cacheField>
    <cacheField name="Casualties" numFmtId="0">
      <sharedItems containsSemiMixedTypes="0" containsString="0" containsNumber="1" containsInteger="1" minValue="0" maxValue="5" count="6">
        <n v="0"/>
        <n v="3"/>
        <n v="4"/>
        <n v="2"/>
        <n v="5"/>
        <n v="1"/>
      </sharedItems>
    </cacheField>
    <cacheField name="Days (Date)" numFmtId="0" databaseField="0">
      <fieldGroup base="1">
        <rangePr groupBy="days" startDate="2024-01-01T00:00:00" endDate="2024-06-27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06-2024"/>
        </groupItems>
      </fieldGroup>
    </cacheField>
    <cacheField name="Months (Date)" numFmtId="0" databaseField="0">
      <fieldGroup base="1">
        <rangePr groupBy="months" startDate="2024-01-01T00:00:00" endDate="2024-06-27T00:00:00"/>
        <groupItems count="14">
          <s v="&lt;01-01-2024"/>
          <s v="Jan"/>
          <s v="Feb"/>
          <s v="Mar"/>
          <s v="Apr"/>
          <s v="May"/>
          <s v="Jun"/>
          <s v="Jul"/>
          <s v="Aug"/>
          <s v="Sep"/>
          <s v="Oct"/>
          <s v="Nov"/>
          <s v="Dec"/>
          <s v="&gt;27-06-2024"/>
        </groupItems>
      </fieldGroup>
    </cacheField>
  </cacheFields>
  <extLst>
    <ext xmlns:x14="http://schemas.microsoft.com/office/spreadsheetml/2009/9/main" uri="{725AE2AE-9491-48be-B2B4-4EB974FC3084}">
      <x14:pivotCacheDefinition pivotCacheId="3957175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AID0001"/>
    <x v="0"/>
    <x v="0"/>
    <x v="0"/>
    <x v="0"/>
    <x v="0"/>
    <x v="0"/>
    <x v="0"/>
    <x v="0"/>
    <x v="0"/>
  </r>
  <r>
    <s v="AID0002"/>
    <x v="1"/>
    <x v="1"/>
    <x v="0"/>
    <x v="0"/>
    <x v="1"/>
    <x v="1"/>
    <x v="0"/>
    <x v="1"/>
    <x v="0"/>
  </r>
  <r>
    <s v="AID0003"/>
    <x v="2"/>
    <x v="1"/>
    <x v="0"/>
    <x v="1"/>
    <x v="2"/>
    <x v="2"/>
    <x v="1"/>
    <x v="0"/>
    <x v="1"/>
  </r>
  <r>
    <s v="AID0004"/>
    <x v="3"/>
    <x v="2"/>
    <x v="1"/>
    <x v="2"/>
    <x v="0"/>
    <x v="0"/>
    <x v="1"/>
    <x v="2"/>
    <x v="2"/>
  </r>
  <r>
    <s v="AID0005"/>
    <x v="4"/>
    <x v="3"/>
    <x v="2"/>
    <x v="0"/>
    <x v="0"/>
    <x v="1"/>
    <x v="0"/>
    <x v="3"/>
    <x v="0"/>
  </r>
  <r>
    <s v="AID0006"/>
    <x v="5"/>
    <x v="3"/>
    <x v="2"/>
    <x v="3"/>
    <x v="3"/>
    <x v="1"/>
    <x v="2"/>
    <x v="4"/>
    <x v="2"/>
  </r>
  <r>
    <s v="AID0007"/>
    <x v="6"/>
    <x v="4"/>
    <x v="2"/>
    <x v="3"/>
    <x v="3"/>
    <x v="0"/>
    <x v="2"/>
    <x v="5"/>
    <x v="3"/>
  </r>
  <r>
    <s v="AID0008"/>
    <x v="7"/>
    <x v="0"/>
    <x v="0"/>
    <x v="3"/>
    <x v="1"/>
    <x v="3"/>
    <x v="0"/>
    <x v="5"/>
    <x v="4"/>
  </r>
  <r>
    <s v="AID0009"/>
    <x v="8"/>
    <x v="1"/>
    <x v="1"/>
    <x v="3"/>
    <x v="2"/>
    <x v="2"/>
    <x v="2"/>
    <x v="3"/>
    <x v="3"/>
  </r>
  <r>
    <s v="AID0010"/>
    <x v="9"/>
    <x v="5"/>
    <x v="1"/>
    <x v="4"/>
    <x v="0"/>
    <x v="2"/>
    <x v="3"/>
    <x v="5"/>
    <x v="4"/>
  </r>
  <r>
    <s v="AID0011"/>
    <x v="10"/>
    <x v="2"/>
    <x v="3"/>
    <x v="0"/>
    <x v="0"/>
    <x v="1"/>
    <x v="1"/>
    <x v="0"/>
    <x v="0"/>
  </r>
  <r>
    <s v="AID0012"/>
    <x v="11"/>
    <x v="5"/>
    <x v="4"/>
    <x v="3"/>
    <x v="0"/>
    <x v="2"/>
    <x v="3"/>
    <x v="0"/>
    <x v="1"/>
  </r>
  <r>
    <s v="AID0013"/>
    <x v="1"/>
    <x v="3"/>
    <x v="4"/>
    <x v="1"/>
    <x v="3"/>
    <x v="3"/>
    <x v="3"/>
    <x v="5"/>
    <x v="5"/>
  </r>
  <r>
    <s v="AID0014"/>
    <x v="12"/>
    <x v="6"/>
    <x v="0"/>
    <x v="5"/>
    <x v="1"/>
    <x v="0"/>
    <x v="3"/>
    <x v="4"/>
    <x v="3"/>
  </r>
  <r>
    <s v="AID0015"/>
    <x v="13"/>
    <x v="6"/>
    <x v="4"/>
    <x v="4"/>
    <x v="1"/>
    <x v="2"/>
    <x v="0"/>
    <x v="2"/>
    <x v="5"/>
  </r>
  <r>
    <s v="AID0016"/>
    <x v="14"/>
    <x v="6"/>
    <x v="0"/>
    <x v="2"/>
    <x v="1"/>
    <x v="1"/>
    <x v="3"/>
    <x v="1"/>
    <x v="4"/>
  </r>
  <r>
    <s v="AID0017"/>
    <x v="15"/>
    <x v="0"/>
    <x v="1"/>
    <x v="4"/>
    <x v="2"/>
    <x v="2"/>
    <x v="0"/>
    <x v="1"/>
    <x v="2"/>
  </r>
  <r>
    <s v="AID0018"/>
    <x v="16"/>
    <x v="7"/>
    <x v="0"/>
    <x v="3"/>
    <x v="2"/>
    <x v="2"/>
    <x v="0"/>
    <x v="2"/>
    <x v="1"/>
  </r>
  <r>
    <s v="AID0019"/>
    <x v="17"/>
    <x v="4"/>
    <x v="0"/>
    <x v="4"/>
    <x v="3"/>
    <x v="3"/>
    <x v="3"/>
    <x v="4"/>
    <x v="2"/>
  </r>
  <r>
    <s v="AID0020"/>
    <x v="18"/>
    <x v="4"/>
    <x v="1"/>
    <x v="1"/>
    <x v="3"/>
    <x v="1"/>
    <x v="0"/>
    <x v="2"/>
    <x v="4"/>
  </r>
  <r>
    <s v="AID0021"/>
    <x v="19"/>
    <x v="2"/>
    <x v="2"/>
    <x v="4"/>
    <x v="2"/>
    <x v="1"/>
    <x v="2"/>
    <x v="1"/>
    <x v="4"/>
  </r>
  <r>
    <s v="AID0022"/>
    <x v="20"/>
    <x v="0"/>
    <x v="3"/>
    <x v="2"/>
    <x v="1"/>
    <x v="2"/>
    <x v="1"/>
    <x v="3"/>
    <x v="2"/>
  </r>
  <r>
    <s v="AID0023"/>
    <x v="13"/>
    <x v="6"/>
    <x v="1"/>
    <x v="1"/>
    <x v="3"/>
    <x v="2"/>
    <x v="3"/>
    <x v="3"/>
    <x v="2"/>
  </r>
  <r>
    <s v="AID0024"/>
    <x v="21"/>
    <x v="1"/>
    <x v="3"/>
    <x v="2"/>
    <x v="3"/>
    <x v="0"/>
    <x v="0"/>
    <x v="0"/>
    <x v="0"/>
  </r>
  <r>
    <s v="AID0025"/>
    <x v="22"/>
    <x v="4"/>
    <x v="2"/>
    <x v="4"/>
    <x v="3"/>
    <x v="1"/>
    <x v="1"/>
    <x v="4"/>
    <x v="5"/>
  </r>
  <r>
    <s v="AID0026"/>
    <x v="23"/>
    <x v="2"/>
    <x v="1"/>
    <x v="5"/>
    <x v="0"/>
    <x v="1"/>
    <x v="0"/>
    <x v="3"/>
    <x v="0"/>
  </r>
  <r>
    <s v="AID0027"/>
    <x v="24"/>
    <x v="0"/>
    <x v="4"/>
    <x v="3"/>
    <x v="2"/>
    <x v="3"/>
    <x v="1"/>
    <x v="0"/>
    <x v="0"/>
  </r>
  <r>
    <s v="AID0028"/>
    <x v="25"/>
    <x v="0"/>
    <x v="0"/>
    <x v="1"/>
    <x v="1"/>
    <x v="0"/>
    <x v="3"/>
    <x v="2"/>
    <x v="2"/>
  </r>
  <r>
    <s v="AID0029"/>
    <x v="26"/>
    <x v="6"/>
    <x v="2"/>
    <x v="0"/>
    <x v="3"/>
    <x v="1"/>
    <x v="3"/>
    <x v="3"/>
    <x v="2"/>
  </r>
  <r>
    <s v="AID0030"/>
    <x v="27"/>
    <x v="2"/>
    <x v="4"/>
    <x v="3"/>
    <x v="1"/>
    <x v="2"/>
    <x v="3"/>
    <x v="1"/>
    <x v="0"/>
  </r>
  <r>
    <s v="AID0031"/>
    <x v="28"/>
    <x v="7"/>
    <x v="3"/>
    <x v="4"/>
    <x v="3"/>
    <x v="3"/>
    <x v="3"/>
    <x v="0"/>
    <x v="4"/>
  </r>
  <r>
    <s v="AID0032"/>
    <x v="29"/>
    <x v="6"/>
    <x v="4"/>
    <x v="0"/>
    <x v="3"/>
    <x v="1"/>
    <x v="1"/>
    <x v="4"/>
    <x v="3"/>
  </r>
  <r>
    <s v="AID0033"/>
    <x v="30"/>
    <x v="2"/>
    <x v="3"/>
    <x v="0"/>
    <x v="2"/>
    <x v="1"/>
    <x v="1"/>
    <x v="1"/>
    <x v="5"/>
  </r>
  <r>
    <s v="AID0034"/>
    <x v="31"/>
    <x v="7"/>
    <x v="2"/>
    <x v="1"/>
    <x v="0"/>
    <x v="2"/>
    <x v="2"/>
    <x v="4"/>
    <x v="5"/>
  </r>
  <r>
    <s v="AID0035"/>
    <x v="32"/>
    <x v="1"/>
    <x v="0"/>
    <x v="2"/>
    <x v="0"/>
    <x v="3"/>
    <x v="3"/>
    <x v="5"/>
    <x v="1"/>
  </r>
  <r>
    <s v="AID0036"/>
    <x v="33"/>
    <x v="7"/>
    <x v="2"/>
    <x v="0"/>
    <x v="0"/>
    <x v="3"/>
    <x v="0"/>
    <x v="1"/>
    <x v="2"/>
  </r>
  <r>
    <s v="AID0037"/>
    <x v="18"/>
    <x v="5"/>
    <x v="3"/>
    <x v="4"/>
    <x v="0"/>
    <x v="2"/>
    <x v="2"/>
    <x v="0"/>
    <x v="4"/>
  </r>
  <r>
    <s v="AID0038"/>
    <x v="34"/>
    <x v="3"/>
    <x v="0"/>
    <x v="0"/>
    <x v="2"/>
    <x v="2"/>
    <x v="3"/>
    <x v="5"/>
    <x v="0"/>
  </r>
  <r>
    <s v="AID0039"/>
    <x v="35"/>
    <x v="2"/>
    <x v="2"/>
    <x v="3"/>
    <x v="1"/>
    <x v="2"/>
    <x v="1"/>
    <x v="5"/>
    <x v="3"/>
  </r>
  <r>
    <s v="AID0040"/>
    <x v="36"/>
    <x v="0"/>
    <x v="0"/>
    <x v="0"/>
    <x v="3"/>
    <x v="1"/>
    <x v="1"/>
    <x v="3"/>
    <x v="5"/>
  </r>
  <r>
    <s v="AID0041"/>
    <x v="37"/>
    <x v="0"/>
    <x v="2"/>
    <x v="0"/>
    <x v="0"/>
    <x v="3"/>
    <x v="2"/>
    <x v="2"/>
    <x v="2"/>
  </r>
  <r>
    <s v="AID0042"/>
    <x v="38"/>
    <x v="1"/>
    <x v="1"/>
    <x v="3"/>
    <x v="1"/>
    <x v="2"/>
    <x v="2"/>
    <x v="5"/>
    <x v="3"/>
  </r>
  <r>
    <s v="AID0043"/>
    <x v="34"/>
    <x v="3"/>
    <x v="0"/>
    <x v="1"/>
    <x v="2"/>
    <x v="2"/>
    <x v="2"/>
    <x v="2"/>
    <x v="3"/>
  </r>
  <r>
    <s v="AID0044"/>
    <x v="39"/>
    <x v="0"/>
    <x v="2"/>
    <x v="3"/>
    <x v="2"/>
    <x v="3"/>
    <x v="1"/>
    <x v="3"/>
    <x v="2"/>
  </r>
  <r>
    <s v="AID0045"/>
    <x v="40"/>
    <x v="0"/>
    <x v="0"/>
    <x v="5"/>
    <x v="0"/>
    <x v="3"/>
    <x v="3"/>
    <x v="2"/>
    <x v="1"/>
  </r>
  <r>
    <s v="AID0046"/>
    <x v="41"/>
    <x v="1"/>
    <x v="2"/>
    <x v="4"/>
    <x v="3"/>
    <x v="0"/>
    <x v="2"/>
    <x v="5"/>
    <x v="0"/>
  </r>
  <r>
    <s v="AID0047"/>
    <x v="42"/>
    <x v="0"/>
    <x v="0"/>
    <x v="3"/>
    <x v="1"/>
    <x v="0"/>
    <x v="3"/>
    <x v="0"/>
    <x v="5"/>
  </r>
  <r>
    <s v="AID0048"/>
    <x v="43"/>
    <x v="6"/>
    <x v="2"/>
    <x v="4"/>
    <x v="3"/>
    <x v="3"/>
    <x v="1"/>
    <x v="4"/>
    <x v="0"/>
  </r>
  <r>
    <s v="AID0049"/>
    <x v="7"/>
    <x v="7"/>
    <x v="1"/>
    <x v="4"/>
    <x v="0"/>
    <x v="0"/>
    <x v="0"/>
    <x v="3"/>
    <x v="4"/>
  </r>
  <r>
    <s v="AID0050"/>
    <x v="33"/>
    <x v="3"/>
    <x v="4"/>
    <x v="2"/>
    <x v="1"/>
    <x v="1"/>
    <x v="2"/>
    <x v="5"/>
    <x v="3"/>
  </r>
  <r>
    <s v="AID0051"/>
    <x v="44"/>
    <x v="5"/>
    <x v="1"/>
    <x v="1"/>
    <x v="2"/>
    <x v="0"/>
    <x v="0"/>
    <x v="4"/>
    <x v="0"/>
  </r>
  <r>
    <s v="AID0052"/>
    <x v="29"/>
    <x v="4"/>
    <x v="2"/>
    <x v="2"/>
    <x v="1"/>
    <x v="1"/>
    <x v="3"/>
    <x v="3"/>
    <x v="3"/>
  </r>
  <r>
    <s v="AID0053"/>
    <x v="45"/>
    <x v="7"/>
    <x v="4"/>
    <x v="3"/>
    <x v="2"/>
    <x v="2"/>
    <x v="0"/>
    <x v="4"/>
    <x v="1"/>
  </r>
  <r>
    <s v="AID0054"/>
    <x v="46"/>
    <x v="0"/>
    <x v="2"/>
    <x v="2"/>
    <x v="2"/>
    <x v="0"/>
    <x v="3"/>
    <x v="4"/>
    <x v="4"/>
  </r>
  <r>
    <s v="AID0055"/>
    <x v="47"/>
    <x v="0"/>
    <x v="0"/>
    <x v="0"/>
    <x v="0"/>
    <x v="1"/>
    <x v="0"/>
    <x v="2"/>
    <x v="2"/>
  </r>
  <r>
    <s v="AID0056"/>
    <x v="48"/>
    <x v="3"/>
    <x v="0"/>
    <x v="5"/>
    <x v="1"/>
    <x v="2"/>
    <x v="0"/>
    <x v="4"/>
    <x v="1"/>
  </r>
  <r>
    <s v="AID0057"/>
    <x v="47"/>
    <x v="3"/>
    <x v="0"/>
    <x v="5"/>
    <x v="2"/>
    <x v="2"/>
    <x v="2"/>
    <x v="5"/>
    <x v="4"/>
  </r>
  <r>
    <s v="AID0058"/>
    <x v="49"/>
    <x v="0"/>
    <x v="1"/>
    <x v="0"/>
    <x v="1"/>
    <x v="3"/>
    <x v="2"/>
    <x v="2"/>
    <x v="3"/>
  </r>
  <r>
    <s v="AID0059"/>
    <x v="18"/>
    <x v="1"/>
    <x v="1"/>
    <x v="3"/>
    <x v="1"/>
    <x v="2"/>
    <x v="1"/>
    <x v="5"/>
    <x v="2"/>
  </r>
  <r>
    <s v="AID0060"/>
    <x v="50"/>
    <x v="2"/>
    <x v="0"/>
    <x v="3"/>
    <x v="3"/>
    <x v="0"/>
    <x v="1"/>
    <x v="4"/>
    <x v="3"/>
  </r>
  <r>
    <s v="AID0061"/>
    <x v="51"/>
    <x v="0"/>
    <x v="2"/>
    <x v="1"/>
    <x v="1"/>
    <x v="2"/>
    <x v="1"/>
    <x v="2"/>
    <x v="4"/>
  </r>
  <r>
    <s v="AID0062"/>
    <x v="52"/>
    <x v="1"/>
    <x v="1"/>
    <x v="4"/>
    <x v="1"/>
    <x v="1"/>
    <x v="2"/>
    <x v="5"/>
    <x v="4"/>
  </r>
  <r>
    <s v="AID0063"/>
    <x v="53"/>
    <x v="6"/>
    <x v="2"/>
    <x v="0"/>
    <x v="0"/>
    <x v="2"/>
    <x v="3"/>
    <x v="2"/>
    <x v="5"/>
  </r>
  <r>
    <s v="AID0064"/>
    <x v="37"/>
    <x v="7"/>
    <x v="0"/>
    <x v="5"/>
    <x v="3"/>
    <x v="2"/>
    <x v="3"/>
    <x v="5"/>
    <x v="2"/>
  </r>
  <r>
    <s v="AID0065"/>
    <x v="54"/>
    <x v="2"/>
    <x v="4"/>
    <x v="0"/>
    <x v="2"/>
    <x v="0"/>
    <x v="2"/>
    <x v="1"/>
    <x v="5"/>
  </r>
  <r>
    <s v="AID0066"/>
    <x v="49"/>
    <x v="5"/>
    <x v="0"/>
    <x v="4"/>
    <x v="2"/>
    <x v="3"/>
    <x v="2"/>
    <x v="0"/>
    <x v="3"/>
  </r>
  <r>
    <s v="AID0067"/>
    <x v="55"/>
    <x v="3"/>
    <x v="1"/>
    <x v="1"/>
    <x v="0"/>
    <x v="3"/>
    <x v="1"/>
    <x v="5"/>
    <x v="5"/>
  </r>
  <r>
    <s v="AID0068"/>
    <x v="41"/>
    <x v="3"/>
    <x v="0"/>
    <x v="1"/>
    <x v="2"/>
    <x v="1"/>
    <x v="0"/>
    <x v="4"/>
    <x v="1"/>
  </r>
  <r>
    <s v="AID0069"/>
    <x v="35"/>
    <x v="1"/>
    <x v="2"/>
    <x v="4"/>
    <x v="3"/>
    <x v="2"/>
    <x v="0"/>
    <x v="0"/>
    <x v="0"/>
  </r>
  <r>
    <s v="AID0070"/>
    <x v="56"/>
    <x v="7"/>
    <x v="2"/>
    <x v="1"/>
    <x v="1"/>
    <x v="1"/>
    <x v="2"/>
    <x v="5"/>
    <x v="2"/>
  </r>
  <r>
    <s v="AID0071"/>
    <x v="57"/>
    <x v="6"/>
    <x v="3"/>
    <x v="3"/>
    <x v="0"/>
    <x v="0"/>
    <x v="2"/>
    <x v="0"/>
    <x v="3"/>
  </r>
  <r>
    <s v="AID0072"/>
    <x v="58"/>
    <x v="1"/>
    <x v="2"/>
    <x v="5"/>
    <x v="3"/>
    <x v="0"/>
    <x v="3"/>
    <x v="4"/>
    <x v="2"/>
  </r>
  <r>
    <s v="AID0073"/>
    <x v="59"/>
    <x v="3"/>
    <x v="2"/>
    <x v="4"/>
    <x v="2"/>
    <x v="0"/>
    <x v="2"/>
    <x v="3"/>
    <x v="5"/>
  </r>
  <r>
    <s v="AID0074"/>
    <x v="60"/>
    <x v="3"/>
    <x v="2"/>
    <x v="3"/>
    <x v="0"/>
    <x v="3"/>
    <x v="1"/>
    <x v="4"/>
    <x v="1"/>
  </r>
  <r>
    <s v="AID0075"/>
    <x v="5"/>
    <x v="7"/>
    <x v="4"/>
    <x v="5"/>
    <x v="3"/>
    <x v="1"/>
    <x v="0"/>
    <x v="1"/>
    <x v="2"/>
  </r>
  <r>
    <s v="AID0076"/>
    <x v="61"/>
    <x v="3"/>
    <x v="3"/>
    <x v="2"/>
    <x v="3"/>
    <x v="0"/>
    <x v="1"/>
    <x v="3"/>
    <x v="2"/>
  </r>
  <r>
    <s v="AID0077"/>
    <x v="62"/>
    <x v="6"/>
    <x v="3"/>
    <x v="2"/>
    <x v="0"/>
    <x v="2"/>
    <x v="2"/>
    <x v="2"/>
    <x v="3"/>
  </r>
  <r>
    <s v="AID0078"/>
    <x v="63"/>
    <x v="6"/>
    <x v="4"/>
    <x v="3"/>
    <x v="0"/>
    <x v="1"/>
    <x v="1"/>
    <x v="0"/>
    <x v="0"/>
  </r>
  <r>
    <s v="AID0079"/>
    <x v="64"/>
    <x v="1"/>
    <x v="1"/>
    <x v="5"/>
    <x v="0"/>
    <x v="3"/>
    <x v="2"/>
    <x v="0"/>
    <x v="4"/>
  </r>
  <r>
    <s v="AID0080"/>
    <x v="65"/>
    <x v="5"/>
    <x v="0"/>
    <x v="0"/>
    <x v="3"/>
    <x v="0"/>
    <x v="2"/>
    <x v="1"/>
    <x v="2"/>
  </r>
  <r>
    <s v="AID0081"/>
    <x v="66"/>
    <x v="4"/>
    <x v="1"/>
    <x v="3"/>
    <x v="0"/>
    <x v="0"/>
    <x v="3"/>
    <x v="1"/>
    <x v="0"/>
  </r>
  <r>
    <s v="AID0082"/>
    <x v="67"/>
    <x v="5"/>
    <x v="1"/>
    <x v="5"/>
    <x v="2"/>
    <x v="3"/>
    <x v="1"/>
    <x v="0"/>
    <x v="1"/>
  </r>
  <r>
    <s v="AID0083"/>
    <x v="68"/>
    <x v="1"/>
    <x v="3"/>
    <x v="4"/>
    <x v="2"/>
    <x v="1"/>
    <x v="0"/>
    <x v="3"/>
    <x v="2"/>
  </r>
  <r>
    <s v="AID0084"/>
    <x v="69"/>
    <x v="2"/>
    <x v="0"/>
    <x v="4"/>
    <x v="3"/>
    <x v="2"/>
    <x v="3"/>
    <x v="2"/>
    <x v="3"/>
  </r>
  <r>
    <s v="AID0085"/>
    <x v="70"/>
    <x v="4"/>
    <x v="2"/>
    <x v="2"/>
    <x v="1"/>
    <x v="3"/>
    <x v="3"/>
    <x v="5"/>
    <x v="1"/>
  </r>
  <r>
    <s v="AID0086"/>
    <x v="56"/>
    <x v="7"/>
    <x v="2"/>
    <x v="3"/>
    <x v="0"/>
    <x v="0"/>
    <x v="3"/>
    <x v="4"/>
    <x v="3"/>
  </r>
  <r>
    <s v="AID0087"/>
    <x v="71"/>
    <x v="5"/>
    <x v="2"/>
    <x v="4"/>
    <x v="2"/>
    <x v="3"/>
    <x v="0"/>
    <x v="2"/>
    <x v="5"/>
  </r>
  <r>
    <s v="AID0088"/>
    <x v="72"/>
    <x v="0"/>
    <x v="3"/>
    <x v="1"/>
    <x v="2"/>
    <x v="0"/>
    <x v="0"/>
    <x v="3"/>
    <x v="3"/>
  </r>
  <r>
    <s v="AID0089"/>
    <x v="3"/>
    <x v="6"/>
    <x v="3"/>
    <x v="0"/>
    <x v="1"/>
    <x v="0"/>
    <x v="2"/>
    <x v="5"/>
    <x v="0"/>
  </r>
  <r>
    <s v="AID0090"/>
    <x v="73"/>
    <x v="1"/>
    <x v="1"/>
    <x v="3"/>
    <x v="0"/>
    <x v="0"/>
    <x v="3"/>
    <x v="0"/>
    <x v="5"/>
  </r>
  <r>
    <s v="AID0091"/>
    <x v="74"/>
    <x v="7"/>
    <x v="4"/>
    <x v="0"/>
    <x v="1"/>
    <x v="2"/>
    <x v="1"/>
    <x v="5"/>
    <x v="2"/>
  </r>
  <r>
    <s v="AID0092"/>
    <x v="7"/>
    <x v="0"/>
    <x v="1"/>
    <x v="5"/>
    <x v="0"/>
    <x v="1"/>
    <x v="1"/>
    <x v="1"/>
    <x v="5"/>
  </r>
  <r>
    <s v="AID0093"/>
    <x v="75"/>
    <x v="2"/>
    <x v="4"/>
    <x v="4"/>
    <x v="1"/>
    <x v="3"/>
    <x v="3"/>
    <x v="1"/>
    <x v="4"/>
  </r>
  <r>
    <s v="AID0094"/>
    <x v="76"/>
    <x v="7"/>
    <x v="2"/>
    <x v="1"/>
    <x v="0"/>
    <x v="1"/>
    <x v="1"/>
    <x v="1"/>
    <x v="0"/>
  </r>
  <r>
    <s v="AID0095"/>
    <x v="77"/>
    <x v="1"/>
    <x v="1"/>
    <x v="1"/>
    <x v="0"/>
    <x v="1"/>
    <x v="2"/>
    <x v="4"/>
    <x v="1"/>
  </r>
  <r>
    <s v="AID0096"/>
    <x v="78"/>
    <x v="3"/>
    <x v="2"/>
    <x v="3"/>
    <x v="0"/>
    <x v="2"/>
    <x v="2"/>
    <x v="4"/>
    <x v="4"/>
  </r>
  <r>
    <s v="AID0097"/>
    <x v="31"/>
    <x v="4"/>
    <x v="3"/>
    <x v="2"/>
    <x v="2"/>
    <x v="1"/>
    <x v="1"/>
    <x v="4"/>
    <x v="1"/>
  </r>
  <r>
    <s v="AID0098"/>
    <x v="79"/>
    <x v="4"/>
    <x v="4"/>
    <x v="4"/>
    <x v="2"/>
    <x v="3"/>
    <x v="3"/>
    <x v="5"/>
    <x v="0"/>
  </r>
  <r>
    <s v="AID0099"/>
    <x v="80"/>
    <x v="7"/>
    <x v="0"/>
    <x v="0"/>
    <x v="0"/>
    <x v="3"/>
    <x v="2"/>
    <x v="4"/>
    <x v="2"/>
  </r>
  <r>
    <s v="AID0100"/>
    <x v="18"/>
    <x v="5"/>
    <x v="4"/>
    <x v="4"/>
    <x v="2"/>
    <x v="1"/>
    <x v="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0E1B4B-6DA5-4398-B681-4CBA8ED282A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B18" firstHeaderRow="1" firstDataRow="1" firstDataCol="1"/>
  <pivotFields count="12">
    <pivotField dataField="1" showAll="0"/>
    <pivotField axis="axisRow" numFmtId="14" showAll="0">
      <items count="82">
        <item x="0"/>
        <item x="32"/>
        <item x="73"/>
        <item x="2"/>
        <item x="10"/>
        <item x="37"/>
        <item x="56"/>
        <item x="9"/>
        <item x="70"/>
        <item x="45"/>
        <item x="78"/>
        <item x="34"/>
        <item x="18"/>
        <item x="69"/>
        <item x="66"/>
        <item x="19"/>
        <item x="64"/>
        <item x="62"/>
        <item x="55"/>
        <item x="6"/>
        <item x="77"/>
        <item x="46"/>
        <item x="21"/>
        <item x="29"/>
        <item x="4"/>
        <item x="59"/>
        <item x="26"/>
        <item x="15"/>
        <item x="52"/>
        <item x="16"/>
        <item x="54"/>
        <item x="36"/>
        <item x="49"/>
        <item x="7"/>
        <item x="39"/>
        <item x="40"/>
        <item x="72"/>
        <item x="48"/>
        <item x="65"/>
        <item x="13"/>
        <item x="1"/>
        <item x="63"/>
        <item x="44"/>
        <item x="12"/>
        <item x="24"/>
        <item x="75"/>
        <item x="79"/>
        <item x="27"/>
        <item x="5"/>
        <item x="42"/>
        <item x="31"/>
        <item x="67"/>
        <item x="35"/>
        <item x="38"/>
        <item x="41"/>
        <item x="25"/>
        <item x="51"/>
        <item x="68"/>
        <item x="8"/>
        <item x="50"/>
        <item x="57"/>
        <item x="14"/>
        <item x="47"/>
        <item x="33"/>
        <item x="61"/>
        <item x="23"/>
        <item x="3"/>
        <item x="22"/>
        <item x="58"/>
        <item x="20"/>
        <item x="28"/>
        <item x="53"/>
        <item x="76"/>
        <item x="71"/>
        <item x="74"/>
        <item x="60"/>
        <item x="80"/>
        <item x="43"/>
        <item x="30"/>
        <item x="11"/>
        <item x="17"/>
        <item t="default"/>
      </items>
    </pivotField>
    <pivotField showAll="0"/>
    <pivotField showAll="0"/>
    <pivotField showAll="0"/>
    <pivotField showAll="0">
      <items count="5">
        <item x="0"/>
        <item x="1"/>
        <item x="3"/>
        <item x="2"/>
        <item t="default"/>
      </items>
    </pivotField>
    <pivotField showAll="0"/>
    <pivotField showAll="0">
      <items count="5">
        <item x="1"/>
        <item x="2"/>
        <item x="0"/>
        <item x="3"/>
        <item t="default"/>
      </items>
    </pivotField>
    <pivotField showAll="0"/>
    <pivotField showAll="0"/>
    <pivotField name="monthly and weekly (Date"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7">
    <i>
      <x v="1"/>
    </i>
    <i>
      <x v="2"/>
    </i>
    <i>
      <x v="3"/>
    </i>
    <i>
      <x v="4"/>
    </i>
    <i>
      <x v="5"/>
    </i>
    <i>
      <x v="6"/>
    </i>
    <i t="grand">
      <x/>
    </i>
  </rowItems>
  <colItems count="1">
    <i/>
  </colItems>
  <dataFields count="1">
    <dataField name="Count of Accident ID" fld="0" subtotal="count"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AD953E-7B5C-48A9-958B-87592CC147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3:K11" firstHeaderRow="1" firstDataRow="2" firstDataCol="1"/>
  <pivotFields count="12">
    <pivotField showAll="0"/>
    <pivotField numFmtId="14" showAll="0">
      <items count="82">
        <item x="0"/>
        <item x="32"/>
        <item x="73"/>
        <item x="2"/>
        <item x="10"/>
        <item x="37"/>
        <item x="56"/>
        <item x="9"/>
        <item x="70"/>
        <item x="45"/>
        <item x="78"/>
        <item x="34"/>
        <item x="18"/>
        <item x="69"/>
        <item x="66"/>
        <item x="19"/>
        <item x="64"/>
        <item x="62"/>
        <item x="55"/>
        <item x="6"/>
        <item x="77"/>
        <item x="46"/>
        <item x="21"/>
        <item x="29"/>
        <item x="4"/>
        <item x="59"/>
        <item x="26"/>
        <item x="15"/>
        <item x="52"/>
        <item x="16"/>
        <item x="54"/>
        <item x="36"/>
        <item x="49"/>
        <item x="7"/>
        <item x="39"/>
        <item x="40"/>
        <item x="72"/>
        <item x="48"/>
        <item x="65"/>
        <item x="13"/>
        <item x="1"/>
        <item x="63"/>
        <item x="44"/>
        <item x="12"/>
        <item x="24"/>
        <item x="75"/>
        <item x="79"/>
        <item x="27"/>
        <item x="5"/>
        <item x="42"/>
        <item x="31"/>
        <item x="67"/>
        <item x="35"/>
        <item x="38"/>
        <item x="41"/>
        <item x="25"/>
        <item x="51"/>
        <item x="68"/>
        <item x="8"/>
        <item x="50"/>
        <item x="57"/>
        <item x="14"/>
        <item x="47"/>
        <item x="33"/>
        <item x="61"/>
        <item x="23"/>
        <item x="3"/>
        <item x="22"/>
        <item x="58"/>
        <item x="20"/>
        <item x="28"/>
        <item x="53"/>
        <item x="76"/>
        <item x="71"/>
        <item x="74"/>
        <item x="60"/>
        <item x="80"/>
        <item x="43"/>
        <item x="30"/>
        <item x="11"/>
        <item x="17"/>
        <item t="default"/>
      </items>
    </pivotField>
    <pivotField showAll="0"/>
    <pivotField showAll="0"/>
    <pivotField axis="axisCol" showAll="0">
      <items count="7">
        <item x="0"/>
        <item x="1"/>
        <item x="5"/>
        <item x="3"/>
        <item x="4"/>
        <item x="2"/>
        <item t="default"/>
      </items>
    </pivotField>
    <pivotField showAll="0"/>
    <pivotField showAll="0"/>
    <pivotField showAll="0"/>
    <pivotField axis="axisRow" showAll="0">
      <items count="7">
        <item x="2"/>
        <item x="1"/>
        <item x="4"/>
        <item x="0"/>
        <item x="5"/>
        <item x="3"/>
        <item t="default"/>
      </items>
    </pivotField>
    <pivotField dataField="1" showAll="0">
      <items count="7">
        <item h="1" x="0"/>
        <item x="5"/>
        <item h="1" x="3"/>
        <item h="1" x="1"/>
        <item h="1" x="2"/>
        <item h="1"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7">
    <i>
      <x/>
    </i>
    <i>
      <x v="1"/>
    </i>
    <i>
      <x v="2"/>
    </i>
    <i>
      <x v="3"/>
    </i>
    <i>
      <x v="4"/>
    </i>
    <i>
      <x v="5"/>
    </i>
    <i t="grand">
      <x/>
    </i>
  </rowItems>
  <colFields count="1">
    <field x="4"/>
  </colFields>
  <colItems count="7">
    <i>
      <x/>
    </i>
    <i>
      <x v="1"/>
    </i>
    <i>
      <x v="2"/>
    </i>
    <i>
      <x v="3"/>
    </i>
    <i>
      <x v="4"/>
    </i>
    <i>
      <x v="5"/>
    </i>
    <i t="grand">
      <x/>
    </i>
  </colItems>
  <dataFields count="1">
    <dataField name="Sum of Casualties" fld="9" baseField="0" baseItem="0"/>
  </dataFields>
  <chartFormats count="6">
    <chartFormat chart="15" format="19" series="1">
      <pivotArea type="data" outline="0" fieldPosition="0">
        <references count="2">
          <reference field="4294967294" count="1" selected="0">
            <x v="0"/>
          </reference>
          <reference field="4" count="1" selected="0">
            <x v="0"/>
          </reference>
        </references>
      </pivotArea>
    </chartFormat>
    <chartFormat chart="15" format="20" series="1">
      <pivotArea type="data" outline="0" fieldPosition="0">
        <references count="2">
          <reference field="4294967294" count="1" selected="0">
            <x v="0"/>
          </reference>
          <reference field="4" count="1" selected="0">
            <x v="1"/>
          </reference>
        </references>
      </pivotArea>
    </chartFormat>
    <chartFormat chart="15" format="21" series="1">
      <pivotArea type="data" outline="0" fieldPosition="0">
        <references count="2">
          <reference field="4294967294" count="1" selected="0">
            <x v="0"/>
          </reference>
          <reference field="4" count="1" selected="0">
            <x v="2"/>
          </reference>
        </references>
      </pivotArea>
    </chartFormat>
    <chartFormat chart="15" format="22" series="1">
      <pivotArea type="data" outline="0" fieldPosition="0">
        <references count="2">
          <reference field="4294967294" count="1" selected="0">
            <x v="0"/>
          </reference>
          <reference field="4" count="1" selected="0">
            <x v="3"/>
          </reference>
        </references>
      </pivotArea>
    </chartFormat>
    <chartFormat chart="15" format="23" series="1">
      <pivotArea type="data" outline="0" fieldPosition="0">
        <references count="2">
          <reference field="4294967294" count="1" selected="0">
            <x v="0"/>
          </reference>
          <reference field="4" count="1" selected="0">
            <x v="4"/>
          </reference>
        </references>
      </pivotArea>
    </chartFormat>
    <chartFormat chart="15" format="24" series="1">
      <pivotArea type="data" outline="0" fieldPosition="0">
        <references count="2">
          <reference field="4294967294" count="1" selected="0">
            <x v="0"/>
          </reference>
          <reference field="4" count="1" selected="0">
            <x v="5"/>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CEFC83-96C6-413B-A97E-8808A723E0A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2">
    <pivotField showAll="0"/>
    <pivotField numFmtId="14" showAll="0">
      <items count="82">
        <item x="0"/>
        <item x="32"/>
        <item x="73"/>
        <item x="2"/>
        <item x="10"/>
        <item x="37"/>
        <item x="56"/>
        <item x="9"/>
        <item x="70"/>
        <item x="45"/>
        <item x="78"/>
        <item x="34"/>
        <item x="18"/>
        <item x="69"/>
        <item x="66"/>
        <item x="19"/>
        <item x="64"/>
        <item x="62"/>
        <item x="55"/>
        <item x="6"/>
        <item x="77"/>
        <item x="46"/>
        <item x="21"/>
        <item x="29"/>
        <item x="4"/>
        <item x="59"/>
        <item x="26"/>
        <item x="15"/>
        <item x="52"/>
        <item x="16"/>
        <item x="54"/>
        <item x="36"/>
        <item x="49"/>
        <item x="7"/>
        <item x="39"/>
        <item x="40"/>
        <item x="72"/>
        <item x="48"/>
        <item x="65"/>
        <item x="13"/>
        <item x="1"/>
        <item x="63"/>
        <item x="44"/>
        <item x="12"/>
        <item x="24"/>
        <item x="75"/>
        <item x="79"/>
        <item x="27"/>
        <item x="5"/>
        <item x="42"/>
        <item x="31"/>
        <item x="67"/>
        <item x="35"/>
        <item x="38"/>
        <item x="41"/>
        <item x="25"/>
        <item x="51"/>
        <item x="68"/>
        <item x="8"/>
        <item x="50"/>
        <item x="57"/>
        <item x="14"/>
        <item x="47"/>
        <item x="33"/>
        <item x="61"/>
        <item x="23"/>
        <item x="3"/>
        <item x="22"/>
        <item x="58"/>
        <item x="20"/>
        <item x="28"/>
        <item x="53"/>
        <item x="76"/>
        <item x="71"/>
        <item x="74"/>
        <item x="60"/>
        <item x="80"/>
        <item x="43"/>
        <item x="30"/>
        <item x="11"/>
        <item x="17"/>
        <item t="default"/>
      </items>
    </pivotField>
    <pivotField showAll="0">
      <items count="9">
        <item x="5"/>
        <item x="3"/>
        <item x="6"/>
        <item x="4"/>
        <item x="0"/>
        <item x="7"/>
        <item x="1"/>
        <item x="2"/>
        <item t="default"/>
      </items>
    </pivotField>
    <pivotField showAll="0">
      <items count="6">
        <item x="2"/>
        <item x="1"/>
        <item x="3"/>
        <item x="0"/>
        <item x="4"/>
        <item t="default"/>
      </items>
    </pivotField>
    <pivotField showAll="0">
      <items count="7">
        <item x="0"/>
        <item h="1" x="1"/>
        <item h="1" x="5"/>
        <item h="1" x="3"/>
        <item h="1" x="4"/>
        <item h="1" x="2"/>
        <item t="default"/>
      </items>
    </pivotField>
    <pivotField showAll="0">
      <items count="5">
        <item x="0"/>
        <item x="1"/>
        <item x="3"/>
        <item x="2"/>
        <item t="default"/>
      </items>
    </pivotField>
    <pivotField axis="axisRow" dataField="1" showAll="0">
      <items count="5">
        <item x="1"/>
        <item x="0"/>
        <item x="2"/>
        <item x="3"/>
        <item t="default"/>
      </items>
    </pivotField>
    <pivotField showAll="0">
      <items count="5">
        <item x="1"/>
        <item x="2"/>
        <item x="0"/>
        <item x="3"/>
        <item t="default"/>
      </items>
    </pivotField>
    <pivotField showAll="0">
      <items count="7">
        <item x="2"/>
        <item x="1"/>
        <item x="4"/>
        <item x="0"/>
        <item x="5"/>
        <item x="3"/>
        <item t="default"/>
      </items>
    </pivotField>
    <pivotField showAll="0">
      <items count="7">
        <item h="1" x="0"/>
        <item x="5"/>
        <item h="1" x="3"/>
        <item h="1" x="1"/>
        <item h="1" x="2"/>
        <item h="1"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Count of Road Condition" fld="6" subtotal="count" baseField="0" baseItem="0"/>
  </dataFields>
  <chartFormats count="6">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0"/>
          </reference>
        </references>
      </pivotArea>
    </chartFormat>
    <chartFormat chart="4" format="4">
      <pivotArea type="data" outline="0" fieldPosition="0">
        <references count="2">
          <reference field="4294967294" count="1" selected="0">
            <x v="0"/>
          </reference>
          <reference field="6" count="1" selected="0">
            <x v="1"/>
          </reference>
        </references>
      </pivotArea>
    </chartFormat>
    <chartFormat chart="4" format="5">
      <pivotArea type="data" outline="0" fieldPosition="0">
        <references count="2">
          <reference field="4294967294" count="1" selected="0">
            <x v="0"/>
          </reference>
          <reference field="6" count="1" selected="0">
            <x v="2"/>
          </reference>
        </references>
      </pivotArea>
    </chartFormat>
    <chartFormat chart="4" format="6">
      <pivotArea type="data" outline="0" fieldPosition="0">
        <references count="2">
          <reference field="4294967294" count="1" selected="0">
            <x v="0"/>
          </reference>
          <reference field="6"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37D700-AED5-43D8-8007-9EA69AABEE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4:I20" firstHeaderRow="1" firstDataRow="2" firstDataCol="1"/>
  <pivotFields count="12">
    <pivotField showAll="0"/>
    <pivotField numFmtId="14" showAll="0">
      <items count="82">
        <item x="0"/>
        <item x="32"/>
        <item x="73"/>
        <item x="2"/>
        <item x="10"/>
        <item x="37"/>
        <item x="56"/>
        <item x="9"/>
        <item x="70"/>
        <item x="45"/>
        <item x="78"/>
        <item x="34"/>
        <item x="18"/>
        <item x="69"/>
        <item x="66"/>
        <item x="19"/>
        <item x="64"/>
        <item x="62"/>
        <item x="55"/>
        <item x="6"/>
        <item x="77"/>
        <item x="46"/>
        <item x="21"/>
        <item x="29"/>
        <item x="4"/>
        <item x="59"/>
        <item x="26"/>
        <item x="15"/>
        <item x="52"/>
        <item x="16"/>
        <item x="54"/>
        <item x="36"/>
        <item x="49"/>
        <item x="7"/>
        <item x="39"/>
        <item x="40"/>
        <item x="72"/>
        <item x="48"/>
        <item x="65"/>
        <item x="13"/>
        <item x="1"/>
        <item x="63"/>
        <item x="44"/>
        <item x="12"/>
        <item x="24"/>
        <item x="75"/>
        <item x="79"/>
        <item x="27"/>
        <item x="5"/>
        <item x="42"/>
        <item x="31"/>
        <item x="67"/>
        <item x="35"/>
        <item x="38"/>
        <item x="41"/>
        <item x="25"/>
        <item x="51"/>
        <item x="68"/>
        <item x="8"/>
        <item x="50"/>
        <item x="57"/>
        <item x="14"/>
        <item x="47"/>
        <item x="33"/>
        <item x="61"/>
        <item x="23"/>
        <item x="3"/>
        <item x="22"/>
        <item x="58"/>
        <item x="20"/>
        <item x="28"/>
        <item x="53"/>
        <item x="76"/>
        <item x="71"/>
        <item x="74"/>
        <item x="60"/>
        <item x="80"/>
        <item x="43"/>
        <item x="30"/>
        <item x="11"/>
        <item x="17"/>
        <item t="default"/>
      </items>
    </pivotField>
    <pivotField showAll="0"/>
    <pivotField showAll="0"/>
    <pivotField showAll="0"/>
    <pivotField axis="axisCol" showAll="0">
      <items count="5">
        <item x="0"/>
        <item x="1"/>
        <item x="3"/>
        <item x="2"/>
        <item t="default"/>
      </items>
    </pivotField>
    <pivotField showAll="0"/>
    <pivotField axis="axisRow" dataField="1" showAll="0">
      <items count="5">
        <item x="1"/>
        <item x="2"/>
        <item x="0"/>
        <item x="3"/>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Fields count="1">
    <field x="5"/>
  </colFields>
  <colItems count="5">
    <i>
      <x/>
    </i>
    <i>
      <x v="1"/>
    </i>
    <i>
      <x v="2"/>
    </i>
    <i>
      <x v="3"/>
    </i>
    <i t="grand">
      <x/>
    </i>
  </colItems>
  <dataFields count="1">
    <dataField name="Count of Severity" fld="7" subtotal="count" baseField="0" baseItem="0"/>
  </dataFields>
  <chartFormats count="9">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1">
          <reference field="4294967294" count="1" selected="0">
            <x v="0"/>
          </reference>
        </references>
      </pivotArea>
    </chartFormat>
    <chartFormat chart="7" format="9" series="1">
      <pivotArea type="data" outline="0" fieldPosition="0">
        <references count="2">
          <reference field="4294967294" count="1" selected="0">
            <x v="0"/>
          </reference>
          <reference field="5" count="1" selected="0">
            <x v="0"/>
          </reference>
        </references>
      </pivotArea>
    </chartFormat>
    <chartFormat chart="7" format="10" series="1">
      <pivotArea type="data" outline="0" fieldPosition="0">
        <references count="2">
          <reference field="4294967294" count="1" selected="0">
            <x v="0"/>
          </reference>
          <reference field="5" count="1" selected="0">
            <x v="1"/>
          </reference>
        </references>
      </pivotArea>
    </chartFormat>
    <chartFormat chart="7" format="11" series="1">
      <pivotArea type="data" outline="0" fieldPosition="0">
        <references count="2">
          <reference field="4294967294" count="1" selected="0">
            <x v="0"/>
          </reference>
          <reference field="5" count="1" selected="0">
            <x v="2"/>
          </reference>
        </references>
      </pivotArea>
    </chartFormat>
    <chartFormat chart="7" format="12" series="1">
      <pivotArea type="data" outline="0" fieldPosition="0">
        <references count="2">
          <reference field="4294967294" count="1" selected="0">
            <x v="0"/>
          </reference>
          <reference field="5"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AE7BA84-BF3A-4250-8B92-D04DF024B94C}" sourceName="Location">
  <pivotTables>
    <pivotTable tabId="6" name="PivotTable7"/>
  </pivotTables>
  <data>
    <tabular pivotCacheId="395717513">
      <items count="8">
        <i x="5" s="1"/>
        <i x="3" s="1"/>
        <i x="6" s="1"/>
        <i x="4" s="1"/>
        <i x="0" s="1"/>
        <i x="7"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use1" xr10:uid="{91E63903-4F28-4FF6-9A3D-A844DFCA0D99}" sourceName="Cause">
  <pivotTables>
    <pivotTable tabId="6" name="PivotTable1"/>
  </pivotTables>
  <data>
    <tabular pivotCacheId="395717513">
      <items count="6">
        <i x="2" s="1"/>
        <i x="1" s="1"/>
        <i x="4" s="1"/>
        <i x="0"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1" xr10:uid="{B46DC814-FA99-42CB-91A8-0805EF3330C3}" sourceName="Weather Condition">
  <pivotTables>
    <pivotTable tabId="6" name="PivotTable3"/>
  </pivotTables>
  <data>
    <tabular pivotCacheId="395717513">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1" xr10:uid="{5BB7B44F-296C-4DAD-BAAE-DFBF557195F0}" sourceName="Severity">
  <pivotTables>
    <pivotTable tabId="6" name="PivotTable2"/>
  </pivotTables>
  <data>
    <tabular pivotCacheId="395717513">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A0D6E924-5AEE-464B-8EE5-C6878114C6B2}" cache="Slicer_Location" caption="Location" style="SlicerStyleLight4" rowHeight="144000"/>
  <slicer name="Cause 1" xr10:uid="{CD24A45E-0531-482D-BDFD-93D3FC6E75AD}" cache="Slicer_Cause1" caption="Cause" style="SlicerStyleLight4" rowHeight="144000"/>
  <slicer name="Weather Condition 1" xr10:uid="{ED06B592-13D3-4BB2-B923-9EAB278A81A1}" cache="Slicer_Weather_Condition1" caption="Weather Condition" style="SlicerStyleLight4" rowHeight="180000"/>
  <slicer name="Severity 1" xr10:uid="{1F78223D-0CAF-4C70-B7B6-CD8E2696A6C3}" cache="Slicer_Severity1" caption="Severity" style="SlicerStyleLight4"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C6E30A-CC4E-4FD7-9221-B303ECB3366A}" name="Table1" displayName="Table1" ref="A2:J102" totalsRowShown="0">
  <autoFilter ref="A2:J102" xr:uid="{42C6E30A-CC4E-4FD7-9221-B303ECB3366A}"/>
  <tableColumns count="10">
    <tableColumn id="1" xr3:uid="{EF8CB50D-8F98-4D30-A8AC-735C8234A19B}" name="Accident ID"/>
    <tableColumn id="2" xr3:uid="{A601A9BF-9DF5-4C22-BF60-AFA1FF802139}" name="Date" dataDxfId="16"/>
    <tableColumn id="3" xr3:uid="{863E9BF8-9BCB-4344-B0F3-B29FC0C58F82}" name="Location"/>
    <tableColumn id="4" xr3:uid="{D0BAFDB0-6D86-463E-99A5-151C8266B75C}" name="Accident Type"/>
    <tableColumn id="5" xr3:uid="{BC43B413-A4AC-4925-84CC-1E0D9941F89C}" name="Vehicle Type"/>
    <tableColumn id="6" xr3:uid="{EFD49994-19F6-461C-A286-DDDEBDEB42DB}" name="Weather Condition"/>
    <tableColumn id="7" xr3:uid="{ED5054A4-9698-4EE9-9EF3-1E8513AB7BD6}" name="Road Condition"/>
    <tableColumn id="8" xr3:uid="{D0884155-7E66-471D-897A-0029BA85066D}" name="Severity"/>
    <tableColumn id="9" xr3:uid="{EA39673A-5BB7-4B32-8794-120AFBBB692F}" name="Cause"/>
    <tableColumn id="10" xr3:uid="{AB78423F-52A3-498E-84D1-CC3117D412B8}" name="Casualti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25313C-6201-4BDD-97FD-7AABBFFAE846}" name="Table2" displayName="Table2" ref="A2:L51" totalsRowShown="0" headerRowDxfId="2" dataDxfId="3" headerRowBorderDxfId="14" tableBorderDxfId="15">
  <autoFilter ref="A2:L51" xr:uid="{D325313C-6201-4BDD-97FD-7AABBFFAE846}"/>
  <tableColumns count="12">
    <tableColumn id="1" xr3:uid="{F48146A9-D7A5-4A35-A406-6A40EC7B8A7D}" name="Order ID" dataDxfId="13"/>
    <tableColumn id="2" xr3:uid="{1BB17EA1-D9FE-4146-B18B-46032AE6BDD2}" name="Date" dataDxfId="12"/>
    <tableColumn id="3" xr3:uid="{89282101-A1A9-4963-B91C-FCDE889423DE}" name="Customer Name" dataDxfId="11"/>
    <tableColumn id="4" xr3:uid="{E90B3950-A7F3-4D0C-8A6D-E3B03631BC6F}" name="Region" dataDxfId="10"/>
    <tableColumn id="5" xr3:uid="{050AC9A2-6BF0-4892-B566-CC44801EEE9A}" name="Product Category" dataDxfId="9"/>
    <tableColumn id="6" xr3:uid="{6AB389AF-F176-48E7-93B6-4CD46C87DCF2}" name="Product Name" dataDxfId="8"/>
    <tableColumn id="7" xr3:uid="{40A395E1-7574-41B5-90E0-1808D356C27E}" name="Unit Price (?)" dataDxfId="1"/>
    <tableColumn id="8" xr3:uid="{447836E1-121F-458A-984D-8E672B77DD74}" name="Quantity" dataDxfId="0"/>
    <tableColumn id="9" xr3:uid="{EA5740E4-8FD2-44C7-927F-B87020978267}" name="Total Sales (?)" dataDxfId="7"/>
    <tableColumn id="10" xr3:uid="{8A2FE4B5-E12B-47BF-AAFE-ECA872509E8C}" name="Profit Margin (%)" dataDxfId="6"/>
    <tableColumn id="11" xr3:uid="{40B3BA59-99C1-4D44-AA6D-9DE268E69841}" name="Customer Age" dataDxfId="5"/>
    <tableColumn id="12" xr3:uid="{33927245-30D2-411F-88C7-774665052179}" name="Payment Mode"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B3D1A-A9C5-4819-8C60-36BAAAE1D169}">
  <sheetPr codeName="Sheet1"/>
  <dimension ref="A1:O11"/>
  <sheetViews>
    <sheetView workbookViewId="0">
      <selection activeCell="F15" sqref="F15"/>
    </sheetView>
  </sheetViews>
  <sheetFormatPr defaultRowHeight="14.5" x14ac:dyDescent="0.35"/>
  <cols>
    <col min="3" max="3" width="12.08984375" customWidth="1"/>
    <col min="4" max="4" width="15" bestFit="1" customWidth="1"/>
    <col min="5" max="5" width="11.453125" bestFit="1" customWidth="1"/>
    <col min="6" max="6" width="15.81640625" bestFit="1" customWidth="1"/>
    <col min="7" max="7" width="25.7265625" bestFit="1" customWidth="1"/>
  </cols>
  <sheetData>
    <row r="1" spans="1:15" ht="15.5" x14ac:dyDescent="0.35">
      <c r="A1" s="7" t="s">
        <v>0</v>
      </c>
      <c r="B1" s="7"/>
      <c r="C1" s="7"/>
      <c r="D1" s="7"/>
      <c r="E1" s="7"/>
      <c r="F1" s="7"/>
      <c r="G1" s="7"/>
      <c r="H1" s="7"/>
      <c r="I1" s="7"/>
      <c r="J1" s="7"/>
      <c r="K1" s="7"/>
      <c r="L1" s="7"/>
      <c r="M1" s="7"/>
      <c r="N1" s="7"/>
      <c r="O1" s="7"/>
    </row>
    <row r="3" spans="1:15" x14ac:dyDescent="0.35">
      <c r="C3" s="1" t="s">
        <v>3</v>
      </c>
      <c r="D3" s="1" t="s">
        <v>1</v>
      </c>
      <c r="E3" s="1" t="s">
        <v>2</v>
      </c>
      <c r="F3" s="1" t="s">
        <v>20</v>
      </c>
      <c r="G3" s="1" t="s">
        <v>21</v>
      </c>
    </row>
    <row r="4" spans="1:15" x14ac:dyDescent="0.35">
      <c r="C4" s="1" t="s">
        <v>4</v>
      </c>
      <c r="D4" s="1" t="s">
        <v>12</v>
      </c>
      <c r="E4" s="2">
        <v>43101</v>
      </c>
      <c r="F4" s="1">
        <f ca="1">DATEDIF(E4, TODAY(), "y")</f>
        <v>7</v>
      </c>
      <c r="G4" s="1" t="str">
        <f ca="1">DATEDIF(E4, TODAY(), "y") &amp; " years " &amp; DATEDIF(E4, TODAY(), "ym") &amp; " months"</f>
        <v>7 years 10 months</v>
      </c>
    </row>
    <row r="5" spans="1:15" x14ac:dyDescent="0.35">
      <c r="C5" s="1" t="s">
        <v>5</v>
      </c>
      <c r="D5" s="1" t="s">
        <v>13</v>
      </c>
      <c r="E5" s="2">
        <v>43631</v>
      </c>
      <c r="F5" s="1">
        <f t="shared" ref="F5:F11" ca="1" si="0">DATEDIF(E5, TODAY(), "y")</f>
        <v>6</v>
      </c>
      <c r="G5" s="1" t="str">
        <f t="shared" ref="G5:G11" ca="1" si="1">DATEDIF(E5, TODAY(), "y") &amp; " years " &amp; DATEDIF(E5, TODAY(), "ym") &amp; " months"</f>
        <v>6 years 4 months</v>
      </c>
    </row>
    <row r="6" spans="1:15" x14ac:dyDescent="0.35">
      <c r="C6" s="1" t="s">
        <v>6</v>
      </c>
      <c r="D6" s="1" t="s">
        <v>14</v>
      </c>
      <c r="E6" s="2">
        <v>43674</v>
      </c>
      <c r="F6" s="1">
        <f t="shared" ca="1" si="0"/>
        <v>6</v>
      </c>
      <c r="G6" s="1" t="str">
        <f t="shared" ca="1" si="1"/>
        <v>6 years 3 months</v>
      </c>
    </row>
    <row r="7" spans="1:15" x14ac:dyDescent="0.35">
      <c r="C7" s="1" t="s">
        <v>7</v>
      </c>
      <c r="D7" s="1" t="s">
        <v>15</v>
      </c>
      <c r="E7" s="2">
        <v>44816</v>
      </c>
      <c r="F7" s="1">
        <f t="shared" ca="1" si="0"/>
        <v>3</v>
      </c>
      <c r="G7" s="1" t="str">
        <f t="shared" ca="1" si="1"/>
        <v>3 years 1 months</v>
      </c>
    </row>
    <row r="8" spans="1:15" x14ac:dyDescent="0.35">
      <c r="C8" s="1" t="s">
        <v>8</v>
      </c>
      <c r="D8" s="1" t="s">
        <v>16</v>
      </c>
      <c r="E8" s="2">
        <v>42773</v>
      </c>
      <c r="F8" s="1">
        <f t="shared" ca="1" si="0"/>
        <v>8</v>
      </c>
      <c r="G8" s="1" t="str">
        <f t="shared" ca="1" si="1"/>
        <v>8 years 8 months</v>
      </c>
    </row>
    <row r="9" spans="1:15" x14ac:dyDescent="0.35">
      <c r="C9" s="1" t="s">
        <v>9</v>
      </c>
      <c r="D9" s="1" t="s">
        <v>17</v>
      </c>
      <c r="E9" s="2">
        <v>45116</v>
      </c>
      <c r="F9" s="1">
        <f t="shared" ca="1" si="0"/>
        <v>2</v>
      </c>
      <c r="G9" s="1" t="str">
        <f t="shared" ca="1" si="1"/>
        <v>2 years 3 months</v>
      </c>
    </row>
    <row r="10" spans="1:15" x14ac:dyDescent="0.35">
      <c r="C10" s="1" t="s">
        <v>10</v>
      </c>
      <c r="D10" s="1" t="s">
        <v>18</v>
      </c>
      <c r="E10" s="2">
        <v>45447</v>
      </c>
      <c r="F10" s="1">
        <f t="shared" ca="1" si="0"/>
        <v>1</v>
      </c>
      <c r="G10" s="1" t="str">
        <f t="shared" ca="1" si="1"/>
        <v>1 years 4 months</v>
      </c>
    </row>
    <row r="11" spans="1:15" x14ac:dyDescent="0.35">
      <c r="C11" s="1" t="s">
        <v>11</v>
      </c>
      <c r="D11" s="1" t="s">
        <v>19</v>
      </c>
      <c r="E11" s="2">
        <v>45817</v>
      </c>
      <c r="F11" s="1">
        <f t="shared" ca="1" si="0"/>
        <v>0</v>
      </c>
      <c r="G11" s="1" t="str">
        <f t="shared" ca="1" si="1"/>
        <v>0 years 4 months</v>
      </c>
    </row>
  </sheetData>
  <autoFilter ref="C3:G3" xr:uid="{900B3D1A-A9C5-4819-8C60-36BAAAE1D169}"/>
  <mergeCells count="1">
    <mergeCell ref="A1:O1"/>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AF2D8-F7BB-4026-A8D4-4AC6A820B359}">
  <sheetPr codeName="Sheet2"/>
  <dimension ref="A1:K102"/>
  <sheetViews>
    <sheetView workbookViewId="0">
      <selection activeCell="K4" sqref="K4"/>
    </sheetView>
  </sheetViews>
  <sheetFormatPr defaultRowHeight="14.5" x14ac:dyDescent="0.35"/>
  <cols>
    <col min="1" max="1" width="12.26953125" customWidth="1"/>
    <col min="2" max="2" width="10.08984375" bestFit="1" customWidth="1"/>
    <col min="3" max="3" width="11" bestFit="1" customWidth="1"/>
    <col min="4" max="4" width="14.453125" customWidth="1"/>
    <col min="5" max="5" width="13.26953125" customWidth="1"/>
    <col min="6" max="6" width="18.81640625" customWidth="1"/>
    <col min="7" max="7" width="17.26953125" bestFit="1" customWidth="1"/>
    <col min="8" max="8" width="9.453125" customWidth="1"/>
    <col min="9" max="9" width="15.6328125" bestFit="1" customWidth="1"/>
    <col min="10" max="10" width="11.26953125" customWidth="1"/>
  </cols>
  <sheetData>
    <row r="1" spans="1:11" x14ac:dyDescent="0.35">
      <c r="A1" s="18" t="s">
        <v>372</v>
      </c>
      <c r="B1" s="18"/>
      <c r="C1" s="18"/>
      <c r="D1" s="18"/>
      <c r="E1" s="18"/>
      <c r="F1" s="18"/>
      <c r="G1" s="18"/>
      <c r="H1" s="18"/>
      <c r="I1" s="18"/>
      <c r="J1" s="18"/>
      <c r="K1" s="18"/>
    </row>
    <row r="2" spans="1:11" x14ac:dyDescent="0.35">
      <c r="A2" t="s">
        <v>208</v>
      </c>
      <c r="B2" t="s">
        <v>47</v>
      </c>
      <c r="C2" t="s">
        <v>209</v>
      </c>
      <c r="D2" t="s">
        <v>210</v>
      </c>
      <c r="E2" t="s">
        <v>211</v>
      </c>
      <c r="F2" t="s">
        <v>212</v>
      </c>
      <c r="G2" t="s">
        <v>213</v>
      </c>
      <c r="H2" t="s">
        <v>214</v>
      </c>
      <c r="I2" t="s">
        <v>215</v>
      </c>
      <c r="J2" t="s">
        <v>216</v>
      </c>
    </row>
    <row r="3" spans="1:11" x14ac:dyDescent="0.35">
      <c r="A3" t="s">
        <v>217</v>
      </c>
      <c r="B3" s="4">
        <v>45292</v>
      </c>
      <c r="C3" t="s">
        <v>218</v>
      </c>
      <c r="D3" t="s">
        <v>219</v>
      </c>
      <c r="E3" t="s">
        <v>220</v>
      </c>
      <c r="F3" t="s">
        <v>221</v>
      </c>
      <c r="G3" t="s">
        <v>222</v>
      </c>
      <c r="H3" t="s">
        <v>223</v>
      </c>
      <c r="I3" t="s">
        <v>224</v>
      </c>
      <c r="J3">
        <v>0</v>
      </c>
    </row>
    <row r="4" spans="1:11" x14ac:dyDescent="0.35">
      <c r="A4" t="s">
        <v>225</v>
      </c>
      <c r="B4" s="4">
        <v>45380</v>
      </c>
      <c r="C4" t="s">
        <v>226</v>
      </c>
      <c r="D4" t="s">
        <v>219</v>
      </c>
      <c r="E4" t="s">
        <v>220</v>
      </c>
      <c r="F4" t="s">
        <v>227</v>
      </c>
      <c r="G4" t="s">
        <v>228</v>
      </c>
      <c r="H4" t="s">
        <v>223</v>
      </c>
      <c r="I4" t="s">
        <v>229</v>
      </c>
      <c r="J4">
        <v>0</v>
      </c>
    </row>
    <row r="5" spans="1:11" x14ac:dyDescent="0.35">
      <c r="A5" t="s">
        <v>230</v>
      </c>
      <c r="B5" s="4">
        <v>45296</v>
      </c>
      <c r="C5" t="s">
        <v>226</v>
      </c>
      <c r="D5" t="s">
        <v>219</v>
      </c>
      <c r="E5" t="s">
        <v>231</v>
      </c>
      <c r="F5" t="s">
        <v>232</v>
      </c>
      <c r="G5" t="s">
        <v>233</v>
      </c>
      <c r="H5" t="s">
        <v>234</v>
      </c>
      <c r="I5" t="s">
        <v>224</v>
      </c>
      <c r="J5">
        <v>3</v>
      </c>
    </row>
    <row r="6" spans="1:11" x14ac:dyDescent="0.35">
      <c r="A6" t="s">
        <v>235</v>
      </c>
      <c r="B6" s="4">
        <v>45445</v>
      </c>
      <c r="C6" t="s">
        <v>236</v>
      </c>
      <c r="D6" t="s">
        <v>237</v>
      </c>
      <c r="E6" t="s">
        <v>238</v>
      </c>
      <c r="F6" t="s">
        <v>221</v>
      </c>
      <c r="G6" t="s">
        <v>222</v>
      </c>
      <c r="H6" t="s">
        <v>234</v>
      </c>
      <c r="I6" t="s">
        <v>239</v>
      </c>
      <c r="J6">
        <v>4</v>
      </c>
    </row>
    <row r="7" spans="1:11" x14ac:dyDescent="0.35">
      <c r="A7" t="s">
        <v>240</v>
      </c>
      <c r="B7" s="4">
        <v>45350</v>
      </c>
      <c r="C7" t="s">
        <v>241</v>
      </c>
      <c r="D7" t="s">
        <v>242</v>
      </c>
      <c r="E7" t="s">
        <v>220</v>
      </c>
      <c r="F7" t="s">
        <v>221</v>
      </c>
      <c r="G7" t="s">
        <v>228</v>
      </c>
      <c r="H7" t="s">
        <v>223</v>
      </c>
      <c r="I7" t="s">
        <v>243</v>
      </c>
      <c r="J7">
        <v>0</v>
      </c>
    </row>
    <row r="8" spans="1:11" x14ac:dyDescent="0.35">
      <c r="A8" t="s">
        <v>244</v>
      </c>
      <c r="B8" s="4">
        <v>45399</v>
      </c>
      <c r="C8" t="s">
        <v>241</v>
      </c>
      <c r="D8" t="s">
        <v>242</v>
      </c>
      <c r="E8" t="s">
        <v>245</v>
      </c>
      <c r="F8" t="s">
        <v>246</v>
      </c>
      <c r="G8" t="s">
        <v>228</v>
      </c>
      <c r="H8" t="s">
        <v>247</v>
      </c>
      <c r="I8" t="s">
        <v>248</v>
      </c>
      <c r="J8">
        <v>4</v>
      </c>
    </row>
    <row r="9" spans="1:11" x14ac:dyDescent="0.35">
      <c r="A9" t="s">
        <v>249</v>
      </c>
      <c r="B9" s="4">
        <v>45338</v>
      </c>
      <c r="C9" t="s">
        <v>250</v>
      </c>
      <c r="D9" t="s">
        <v>242</v>
      </c>
      <c r="E9" t="s">
        <v>245</v>
      </c>
      <c r="F9" t="s">
        <v>246</v>
      </c>
      <c r="G9" t="s">
        <v>222</v>
      </c>
      <c r="H9" t="s">
        <v>247</v>
      </c>
      <c r="I9" t="s">
        <v>251</v>
      </c>
      <c r="J9">
        <v>2</v>
      </c>
    </row>
    <row r="10" spans="1:11" x14ac:dyDescent="0.35">
      <c r="A10" t="s">
        <v>252</v>
      </c>
      <c r="B10" s="4">
        <v>45369</v>
      </c>
      <c r="C10" t="s">
        <v>218</v>
      </c>
      <c r="D10" t="s">
        <v>219</v>
      </c>
      <c r="E10" t="s">
        <v>245</v>
      </c>
      <c r="F10" t="s">
        <v>227</v>
      </c>
      <c r="G10" t="s">
        <v>253</v>
      </c>
      <c r="H10" t="s">
        <v>223</v>
      </c>
      <c r="I10" t="s">
        <v>251</v>
      </c>
      <c r="J10">
        <v>5</v>
      </c>
    </row>
    <row r="11" spans="1:11" x14ac:dyDescent="0.35">
      <c r="A11" t="s">
        <v>254</v>
      </c>
      <c r="B11" s="4">
        <v>45425</v>
      </c>
      <c r="C11" t="s">
        <v>226</v>
      </c>
      <c r="D11" t="s">
        <v>237</v>
      </c>
      <c r="E11" t="s">
        <v>245</v>
      </c>
      <c r="F11" t="s">
        <v>232</v>
      </c>
      <c r="G11" t="s">
        <v>233</v>
      </c>
      <c r="H11" t="s">
        <v>247</v>
      </c>
      <c r="I11" t="s">
        <v>243</v>
      </c>
      <c r="J11">
        <v>2</v>
      </c>
    </row>
    <row r="12" spans="1:11" x14ac:dyDescent="0.35">
      <c r="A12" t="s">
        <v>255</v>
      </c>
      <c r="B12" s="4">
        <v>45307</v>
      </c>
      <c r="C12" t="s">
        <v>256</v>
      </c>
      <c r="D12" t="s">
        <v>237</v>
      </c>
      <c r="E12" t="s">
        <v>257</v>
      </c>
      <c r="F12" t="s">
        <v>221</v>
      </c>
      <c r="G12" t="s">
        <v>233</v>
      </c>
      <c r="H12" t="s">
        <v>258</v>
      </c>
      <c r="I12" t="s">
        <v>251</v>
      </c>
      <c r="J12">
        <v>5</v>
      </c>
    </row>
    <row r="13" spans="1:11" x14ac:dyDescent="0.35">
      <c r="A13" t="s">
        <v>259</v>
      </c>
      <c r="B13" s="4">
        <v>45299</v>
      </c>
      <c r="C13" t="s">
        <v>236</v>
      </c>
      <c r="D13" t="s">
        <v>260</v>
      </c>
      <c r="E13" t="s">
        <v>220</v>
      </c>
      <c r="F13" t="s">
        <v>221</v>
      </c>
      <c r="G13" t="s">
        <v>228</v>
      </c>
      <c r="H13" t="s">
        <v>234</v>
      </c>
      <c r="I13" t="s">
        <v>224</v>
      </c>
      <c r="J13">
        <v>0</v>
      </c>
    </row>
    <row r="14" spans="1:11" x14ac:dyDescent="0.35">
      <c r="A14" t="s">
        <v>261</v>
      </c>
      <c r="B14" s="4">
        <v>45468</v>
      </c>
      <c r="C14" t="s">
        <v>256</v>
      </c>
      <c r="D14" t="s">
        <v>262</v>
      </c>
      <c r="E14" t="s">
        <v>245</v>
      </c>
      <c r="F14" t="s">
        <v>221</v>
      </c>
      <c r="G14" t="s">
        <v>233</v>
      </c>
      <c r="H14" t="s">
        <v>258</v>
      </c>
      <c r="I14" t="s">
        <v>224</v>
      </c>
      <c r="J14">
        <v>3</v>
      </c>
    </row>
    <row r="15" spans="1:11" x14ac:dyDescent="0.35">
      <c r="A15" t="s">
        <v>263</v>
      </c>
      <c r="B15" s="4">
        <v>45380</v>
      </c>
      <c r="C15" t="s">
        <v>241</v>
      </c>
      <c r="D15" t="s">
        <v>262</v>
      </c>
      <c r="E15" t="s">
        <v>231</v>
      </c>
      <c r="F15" t="s">
        <v>246</v>
      </c>
      <c r="G15" t="s">
        <v>253</v>
      </c>
      <c r="H15" t="s">
        <v>258</v>
      </c>
      <c r="I15" t="s">
        <v>251</v>
      </c>
      <c r="J15">
        <v>1</v>
      </c>
    </row>
    <row r="16" spans="1:11" x14ac:dyDescent="0.35">
      <c r="A16" t="s">
        <v>264</v>
      </c>
      <c r="B16" s="4">
        <v>45384</v>
      </c>
      <c r="C16" t="s">
        <v>265</v>
      </c>
      <c r="D16" t="s">
        <v>219</v>
      </c>
      <c r="E16" t="s">
        <v>266</v>
      </c>
      <c r="F16" t="s">
        <v>227</v>
      </c>
      <c r="G16" t="s">
        <v>222</v>
      </c>
      <c r="H16" t="s">
        <v>258</v>
      </c>
      <c r="I16" t="s">
        <v>248</v>
      </c>
      <c r="J16">
        <v>2</v>
      </c>
    </row>
    <row r="17" spans="1:10" x14ac:dyDescent="0.35">
      <c r="A17" t="s">
        <v>267</v>
      </c>
      <c r="B17" s="4">
        <v>45378</v>
      </c>
      <c r="C17" t="s">
        <v>265</v>
      </c>
      <c r="D17" t="s">
        <v>262</v>
      </c>
      <c r="E17" t="s">
        <v>257</v>
      </c>
      <c r="F17" t="s">
        <v>227</v>
      </c>
      <c r="G17" t="s">
        <v>233</v>
      </c>
      <c r="H17" t="s">
        <v>223</v>
      </c>
      <c r="I17" t="s">
        <v>239</v>
      </c>
      <c r="J17">
        <v>1</v>
      </c>
    </row>
    <row r="18" spans="1:10" x14ac:dyDescent="0.35">
      <c r="A18" t="s">
        <v>268</v>
      </c>
      <c r="B18" s="4">
        <v>45431</v>
      </c>
      <c r="C18" t="s">
        <v>265</v>
      </c>
      <c r="D18" t="s">
        <v>219</v>
      </c>
      <c r="E18" t="s">
        <v>238</v>
      </c>
      <c r="F18" t="s">
        <v>227</v>
      </c>
      <c r="G18" t="s">
        <v>228</v>
      </c>
      <c r="H18" t="s">
        <v>258</v>
      </c>
      <c r="I18" t="s">
        <v>229</v>
      </c>
      <c r="J18">
        <v>5</v>
      </c>
    </row>
    <row r="19" spans="1:10" x14ac:dyDescent="0.35">
      <c r="A19" t="s">
        <v>269</v>
      </c>
      <c r="B19" s="4">
        <v>45354</v>
      </c>
      <c r="C19" t="s">
        <v>218</v>
      </c>
      <c r="D19" t="s">
        <v>237</v>
      </c>
      <c r="E19" t="s">
        <v>257</v>
      </c>
      <c r="F19" t="s">
        <v>232</v>
      </c>
      <c r="G19" t="s">
        <v>233</v>
      </c>
      <c r="H19" t="s">
        <v>223</v>
      </c>
      <c r="I19" t="s">
        <v>229</v>
      </c>
      <c r="J19">
        <v>4</v>
      </c>
    </row>
    <row r="20" spans="1:10" x14ac:dyDescent="0.35">
      <c r="A20" t="s">
        <v>270</v>
      </c>
      <c r="B20" s="4">
        <v>45359</v>
      </c>
      <c r="C20" t="s">
        <v>271</v>
      </c>
      <c r="D20" t="s">
        <v>219</v>
      </c>
      <c r="E20" t="s">
        <v>245</v>
      </c>
      <c r="F20" t="s">
        <v>232</v>
      </c>
      <c r="G20" t="s">
        <v>233</v>
      </c>
      <c r="H20" t="s">
        <v>223</v>
      </c>
      <c r="I20" t="s">
        <v>239</v>
      </c>
      <c r="J20">
        <v>3</v>
      </c>
    </row>
    <row r="21" spans="1:10" x14ac:dyDescent="0.35">
      <c r="A21" t="s">
        <v>272</v>
      </c>
      <c r="B21" s="4">
        <v>45469</v>
      </c>
      <c r="C21" t="s">
        <v>250</v>
      </c>
      <c r="D21" t="s">
        <v>219</v>
      </c>
      <c r="E21" t="s">
        <v>257</v>
      </c>
      <c r="F21" t="s">
        <v>246</v>
      </c>
      <c r="G21" t="s">
        <v>253</v>
      </c>
      <c r="H21" t="s">
        <v>258</v>
      </c>
      <c r="I21" t="s">
        <v>248</v>
      </c>
      <c r="J21">
        <v>4</v>
      </c>
    </row>
    <row r="22" spans="1:10" x14ac:dyDescent="0.35">
      <c r="A22" t="s">
        <v>273</v>
      </c>
      <c r="B22" s="4">
        <v>45317</v>
      </c>
      <c r="C22" t="s">
        <v>250</v>
      </c>
      <c r="D22" t="s">
        <v>237</v>
      </c>
      <c r="E22" t="s">
        <v>231</v>
      </c>
      <c r="F22" t="s">
        <v>246</v>
      </c>
      <c r="G22" t="s">
        <v>228</v>
      </c>
      <c r="H22" t="s">
        <v>223</v>
      </c>
      <c r="I22" t="s">
        <v>239</v>
      </c>
      <c r="J22">
        <v>5</v>
      </c>
    </row>
    <row r="23" spans="1:10" x14ac:dyDescent="0.35">
      <c r="A23" t="s">
        <v>274</v>
      </c>
      <c r="B23" s="4">
        <v>45327</v>
      </c>
      <c r="C23" t="s">
        <v>236</v>
      </c>
      <c r="D23" t="s">
        <v>242</v>
      </c>
      <c r="E23" t="s">
        <v>257</v>
      </c>
      <c r="F23" t="s">
        <v>232</v>
      </c>
      <c r="G23" t="s">
        <v>228</v>
      </c>
      <c r="H23" t="s">
        <v>247</v>
      </c>
      <c r="I23" t="s">
        <v>229</v>
      </c>
      <c r="J23">
        <v>5</v>
      </c>
    </row>
    <row r="24" spans="1:10" x14ac:dyDescent="0.35">
      <c r="A24" t="s">
        <v>275</v>
      </c>
      <c r="B24" s="4">
        <v>45450</v>
      </c>
      <c r="C24" t="s">
        <v>218</v>
      </c>
      <c r="D24" t="s">
        <v>260</v>
      </c>
      <c r="E24" t="s">
        <v>238</v>
      </c>
      <c r="F24" t="s">
        <v>227</v>
      </c>
      <c r="G24" t="s">
        <v>233</v>
      </c>
      <c r="H24" t="s">
        <v>234</v>
      </c>
      <c r="I24" t="s">
        <v>243</v>
      </c>
      <c r="J24">
        <v>4</v>
      </c>
    </row>
    <row r="25" spans="1:10" x14ac:dyDescent="0.35">
      <c r="A25" t="s">
        <v>276</v>
      </c>
      <c r="B25" s="4">
        <v>45378</v>
      </c>
      <c r="C25" t="s">
        <v>265</v>
      </c>
      <c r="D25" t="s">
        <v>237</v>
      </c>
      <c r="E25" t="s">
        <v>231</v>
      </c>
      <c r="F25" t="s">
        <v>246</v>
      </c>
      <c r="G25" t="s">
        <v>233</v>
      </c>
      <c r="H25" t="s">
        <v>258</v>
      </c>
      <c r="I25" t="s">
        <v>243</v>
      </c>
      <c r="J25">
        <v>4</v>
      </c>
    </row>
    <row r="26" spans="1:10" x14ac:dyDescent="0.35">
      <c r="A26" t="s">
        <v>277</v>
      </c>
      <c r="B26" s="4">
        <v>45346</v>
      </c>
      <c r="C26" t="s">
        <v>226</v>
      </c>
      <c r="D26" t="s">
        <v>260</v>
      </c>
      <c r="E26" t="s">
        <v>238</v>
      </c>
      <c r="F26" t="s">
        <v>246</v>
      </c>
      <c r="G26" t="s">
        <v>222</v>
      </c>
      <c r="H26" t="s">
        <v>223</v>
      </c>
      <c r="I26" t="s">
        <v>224</v>
      </c>
      <c r="J26">
        <v>0</v>
      </c>
    </row>
    <row r="27" spans="1:10" x14ac:dyDescent="0.35">
      <c r="A27" t="s">
        <v>278</v>
      </c>
      <c r="B27" s="4">
        <v>45447</v>
      </c>
      <c r="C27" t="s">
        <v>250</v>
      </c>
      <c r="D27" t="s">
        <v>242</v>
      </c>
      <c r="E27" t="s">
        <v>257</v>
      </c>
      <c r="F27" t="s">
        <v>246</v>
      </c>
      <c r="G27" t="s">
        <v>228</v>
      </c>
      <c r="H27" t="s">
        <v>234</v>
      </c>
      <c r="I27" t="s">
        <v>248</v>
      </c>
      <c r="J27">
        <v>1</v>
      </c>
    </row>
    <row r="28" spans="1:10" x14ac:dyDescent="0.35">
      <c r="A28" t="s">
        <v>279</v>
      </c>
      <c r="B28" s="4">
        <v>45442</v>
      </c>
      <c r="C28" t="s">
        <v>236</v>
      </c>
      <c r="D28" t="s">
        <v>237</v>
      </c>
      <c r="E28" t="s">
        <v>266</v>
      </c>
      <c r="F28" t="s">
        <v>221</v>
      </c>
      <c r="G28" t="s">
        <v>228</v>
      </c>
      <c r="H28" t="s">
        <v>223</v>
      </c>
      <c r="I28" t="s">
        <v>243</v>
      </c>
      <c r="J28">
        <v>0</v>
      </c>
    </row>
    <row r="29" spans="1:10" x14ac:dyDescent="0.35">
      <c r="A29" t="s">
        <v>280</v>
      </c>
      <c r="B29" s="4">
        <v>45386</v>
      </c>
      <c r="C29" t="s">
        <v>218</v>
      </c>
      <c r="D29" t="s">
        <v>262</v>
      </c>
      <c r="E29" t="s">
        <v>245</v>
      </c>
      <c r="F29" t="s">
        <v>232</v>
      </c>
      <c r="G29" t="s">
        <v>253</v>
      </c>
      <c r="H29" t="s">
        <v>234</v>
      </c>
      <c r="I29" t="s">
        <v>224</v>
      </c>
      <c r="J29">
        <v>0</v>
      </c>
    </row>
    <row r="30" spans="1:10" x14ac:dyDescent="0.35">
      <c r="A30" t="s">
        <v>281</v>
      </c>
      <c r="B30" s="4">
        <v>45422</v>
      </c>
      <c r="C30" t="s">
        <v>218</v>
      </c>
      <c r="D30" t="s">
        <v>219</v>
      </c>
      <c r="E30" t="s">
        <v>231</v>
      </c>
      <c r="F30" t="s">
        <v>227</v>
      </c>
      <c r="G30" t="s">
        <v>222</v>
      </c>
      <c r="H30" t="s">
        <v>258</v>
      </c>
      <c r="I30" t="s">
        <v>239</v>
      </c>
      <c r="J30">
        <v>4</v>
      </c>
    </row>
    <row r="31" spans="1:10" x14ac:dyDescent="0.35">
      <c r="A31" t="s">
        <v>282</v>
      </c>
      <c r="B31" s="4">
        <v>45353</v>
      </c>
      <c r="C31" t="s">
        <v>265</v>
      </c>
      <c r="D31" t="s">
        <v>242</v>
      </c>
      <c r="E31" t="s">
        <v>220</v>
      </c>
      <c r="F31" t="s">
        <v>246</v>
      </c>
      <c r="G31" t="s">
        <v>228</v>
      </c>
      <c r="H31" t="s">
        <v>258</v>
      </c>
      <c r="I31" t="s">
        <v>243</v>
      </c>
      <c r="J31">
        <v>4</v>
      </c>
    </row>
    <row r="32" spans="1:10" x14ac:dyDescent="0.35">
      <c r="A32" t="s">
        <v>283</v>
      </c>
      <c r="B32" s="4">
        <v>45398</v>
      </c>
      <c r="C32" t="s">
        <v>236</v>
      </c>
      <c r="D32" t="s">
        <v>262</v>
      </c>
      <c r="E32" t="s">
        <v>245</v>
      </c>
      <c r="F32" t="s">
        <v>227</v>
      </c>
      <c r="G32" t="s">
        <v>233</v>
      </c>
      <c r="H32" t="s">
        <v>258</v>
      </c>
      <c r="I32" t="s">
        <v>229</v>
      </c>
      <c r="J32">
        <v>0</v>
      </c>
    </row>
    <row r="33" spans="1:10" x14ac:dyDescent="0.35">
      <c r="A33" t="s">
        <v>284</v>
      </c>
      <c r="B33" s="4">
        <v>45452</v>
      </c>
      <c r="C33" t="s">
        <v>271</v>
      </c>
      <c r="D33" t="s">
        <v>260</v>
      </c>
      <c r="E33" t="s">
        <v>257</v>
      </c>
      <c r="F33" t="s">
        <v>246</v>
      </c>
      <c r="G33" t="s">
        <v>253</v>
      </c>
      <c r="H33" t="s">
        <v>258</v>
      </c>
      <c r="I33" t="s">
        <v>224</v>
      </c>
      <c r="J33">
        <v>5</v>
      </c>
    </row>
    <row r="34" spans="1:10" x14ac:dyDescent="0.35">
      <c r="A34" t="s">
        <v>285</v>
      </c>
      <c r="B34" s="4">
        <v>45347</v>
      </c>
      <c r="C34" t="s">
        <v>265</v>
      </c>
      <c r="D34" t="s">
        <v>262</v>
      </c>
      <c r="E34" t="s">
        <v>220</v>
      </c>
      <c r="F34" t="s">
        <v>246</v>
      </c>
      <c r="G34" t="s">
        <v>228</v>
      </c>
      <c r="H34" t="s">
        <v>234</v>
      </c>
      <c r="I34" t="s">
        <v>248</v>
      </c>
      <c r="J34">
        <v>2</v>
      </c>
    </row>
    <row r="35" spans="1:10" x14ac:dyDescent="0.35">
      <c r="A35" t="s">
        <v>286</v>
      </c>
      <c r="B35" s="4">
        <v>45467</v>
      </c>
      <c r="C35" t="s">
        <v>236</v>
      </c>
      <c r="D35" t="s">
        <v>260</v>
      </c>
      <c r="E35" t="s">
        <v>220</v>
      </c>
      <c r="F35" t="s">
        <v>232</v>
      </c>
      <c r="G35" t="s">
        <v>228</v>
      </c>
      <c r="H35" t="s">
        <v>234</v>
      </c>
      <c r="I35" t="s">
        <v>229</v>
      </c>
      <c r="J35">
        <v>1</v>
      </c>
    </row>
    <row r="36" spans="1:10" x14ac:dyDescent="0.35">
      <c r="A36" t="s">
        <v>287</v>
      </c>
      <c r="B36" s="4">
        <v>45403</v>
      </c>
      <c r="C36" t="s">
        <v>271</v>
      </c>
      <c r="D36" t="s">
        <v>242</v>
      </c>
      <c r="E36" t="s">
        <v>231</v>
      </c>
      <c r="F36" t="s">
        <v>221</v>
      </c>
      <c r="G36" t="s">
        <v>233</v>
      </c>
      <c r="H36" t="s">
        <v>247</v>
      </c>
      <c r="I36" t="s">
        <v>248</v>
      </c>
      <c r="J36">
        <v>1</v>
      </c>
    </row>
    <row r="37" spans="1:10" x14ac:dyDescent="0.35">
      <c r="A37" t="s">
        <v>288</v>
      </c>
      <c r="B37" s="4">
        <v>45293</v>
      </c>
      <c r="C37" t="s">
        <v>226</v>
      </c>
      <c r="D37" t="s">
        <v>219</v>
      </c>
      <c r="E37" t="s">
        <v>238</v>
      </c>
      <c r="F37" t="s">
        <v>221</v>
      </c>
      <c r="G37" t="s">
        <v>253</v>
      </c>
      <c r="H37" t="s">
        <v>258</v>
      </c>
      <c r="I37" t="s">
        <v>251</v>
      </c>
      <c r="J37">
        <v>3</v>
      </c>
    </row>
    <row r="38" spans="1:10" x14ac:dyDescent="0.35">
      <c r="A38" t="s">
        <v>289</v>
      </c>
      <c r="B38" s="4">
        <v>45436</v>
      </c>
      <c r="C38" t="s">
        <v>271</v>
      </c>
      <c r="D38" t="s">
        <v>242</v>
      </c>
      <c r="E38" t="s">
        <v>220</v>
      </c>
      <c r="F38" t="s">
        <v>221</v>
      </c>
      <c r="G38" t="s">
        <v>253</v>
      </c>
      <c r="H38" t="s">
        <v>223</v>
      </c>
      <c r="I38" t="s">
        <v>229</v>
      </c>
      <c r="J38">
        <v>4</v>
      </c>
    </row>
    <row r="39" spans="1:10" x14ac:dyDescent="0.35">
      <c r="A39" t="s">
        <v>290</v>
      </c>
      <c r="B39" s="4">
        <v>45317</v>
      </c>
      <c r="C39" t="s">
        <v>256</v>
      </c>
      <c r="D39" t="s">
        <v>260</v>
      </c>
      <c r="E39" t="s">
        <v>257</v>
      </c>
      <c r="F39" t="s">
        <v>221</v>
      </c>
      <c r="G39" t="s">
        <v>233</v>
      </c>
      <c r="H39" t="s">
        <v>247</v>
      </c>
      <c r="I39" t="s">
        <v>224</v>
      </c>
      <c r="J39">
        <v>5</v>
      </c>
    </row>
    <row r="40" spans="1:10" x14ac:dyDescent="0.35">
      <c r="A40" t="s">
        <v>291</v>
      </c>
      <c r="B40" s="4">
        <v>45314</v>
      </c>
      <c r="C40" t="s">
        <v>241</v>
      </c>
      <c r="D40" t="s">
        <v>219</v>
      </c>
      <c r="E40" t="s">
        <v>220</v>
      </c>
      <c r="F40" t="s">
        <v>232</v>
      </c>
      <c r="G40" t="s">
        <v>233</v>
      </c>
      <c r="H40" t="s">
        <v>258</v>
      </c>
      <c r="I40" t="s">
        <v>251</v>
      </c>
      <c r="J40">
        <v>0</v>
      </c>
    </row>
    <row r="41" spans="1:10" x14ac:dyDescent="0.35">
      <c r="A41" t="s">
        <v>292</v>
      </c>
      <c r="B41" s="4">
        <v>45408</v>
      </c>
      <c r="C41" t="s">
        <v>236</v>
      </c>
      <c r="D41" t="s">
        <v>242</v>
      </c>
      <c r="E41" t="s">
        <v>245</v>
      </c>
      <c r="F41" t="s">
        <v>227</v>
      </c>
      <c r="G41" t="s">
        <v>233</v>
      </c>
      <c r="H41" t="s">
        <v>234</v>
      </c>
      <c r="I41" t="s">
        <v>251</v>
      </c>
      <c r="J41">
        <v>2</v>
      </c>
    </row>
    <row r="42" spans="1:10" x14ac:dyDescent="0.35">
      <c r="A42" t="s">
        <v>293</v>
      </c>
      <c r="B42" s="4">
        <v>45365</v>
      </c>
      <c r="C42" t="s">
        <v>218</v>
      </c>
      <c r="D42" t="s">
        <v>219</v>
      </c>
      <c r="E42" t="s">
        <v>220</v>
      </c>
      <c r="F42" t="s">
        <v>246</v>
      </c>
      <c r="G42" t="s">
        <v>228</v>
      </c>
      <c r="H42" t="s">
        <v>234</v>
      </c>
      <c r="I42" t="s">
        <v>243</v>
      </c>
      <c r="J42">
        <v>1</v>
      </c>
    </row>
    <row r="43" spans="1:10" x14ac:dyDescent="0.35">
      <c r="A43" t="s">
        <v>294</v>
      </c>
      <c r="B43" s="4">
        <v>45301</v>
      </c>
      <c r="C43" t="s">
        <v>218</v>
      </c>
      <c r="D43" t="s">
        <v>242</v>
      </c>
      <c r="E43" t="s">
        <v>220</v>
      </c>
      <c r="F43" t="s">
        <v>221</v>
      </c>
      <c r="G43" t="s">
        <v>253</v>
      </c>
      <c r="H43" t="s">
        <v>247</v>
      </c>
      <c r="I43" t="s">
        <v>239</v>
      </c>
      <c r="J43">
        <v>4</v>
      </c>
    </row>
    <row r="44" spans="1:10" x14ac:dyDescent="0.35">
      <c r="A44" t="s">
        <v>295</v>
      </c>
      <c r="B44" s="4">
        <v>45410</v>
      </c>
      <c r="C44" t="s">
        <v>226</v>
      </c>
      <c r="D44" t="s">
        <v>237</v>
      </c>
      <c r="E44" t="s">
        <v>245</v>
      </c>
      <c r="F44" t="s">
        <v>227</v>
      </c>
      <c r="G44" t="s">
        <v>233</v>
      </c>
      <c r="H44" t="s">
        <v>247</v>
      </c>
      <c r="I44" t="s">
        <v>251</v>
      </c>
      <c r="J44">
        <v>2</v>
      </c>
    </row>
    <row r="45" spans="1:10" x14ac:dyDescent="0.35">
      <c r="A45" t="s">
        <v>296</v>
      </c>
      <c r="B45" s="4">
        <v>45314</v>
      </c>
      <c r="C45" t="s">
        <v>241</v>
      </c>
      <c r="D45" t="s">
        <v>219</v>
      </c>
      <c r="E45" t="s">
        <v>231</v>
      </c>
      <c r="F45" t="s">
        <v>232</v>
      </c>
      <c r="G45" t="s">
        <v>233</v>
      </c>
      <c r="H45" t="s">
        <v>247</v>
      </c>
      <c r="I45" t="s">
        <v>239</v>
      </c>
      <c r="J45">
        <v>2</v>
      </c>
    </row>
    <row r="46" spans="1:10" x14ac:dyDescent="0.35">
      <c r="A46" t="s">
        <v>297</v>
      </c>
      <c r="B46" s="4">
        <v>45370</v>
      </c>
      <c r="C46" t="s">
        <v>218</v>
      </c>
      <c r="D46" t="s">
        <v>242</v>
      </c>
      <c r="E46" t="s">
        <v>245</v>
      </c>
      <c r="F46" t="s">
        <v>232</v>
      </c>
      <c r="G46" t="s">
        <v>253</v>
      </c>
      <c r="H46" t="s">
        <v>234</v>
      </c>
      <c r="I46" t="s">
        <v>243</v>
      </c>
      <c r="J46">
        <v>4</v>
      </c>
    </row>
    <row r="47" spans="1:10" x14ac:dyDescent="0.35">
      <c r="A47" t="s">
        <v>298</v>
      </c>
      <c r="B47" s="4">
        <v>45371</v>
      </c>
      <c r="C47" t="s">
        <v>218</v>
      </c>
      <c r="D47" t="s">
        <v>219</v>
      </c>
      <c r="E47" t="s">
        <v>266</v>
      </c>
      <c r="F47" t="s">
        <v>221</v>
      </c>
      <c r="G47" t="s">
        <v>253</v>
      </c>
      <c r="H47" t="s">
        <v>258</v>
      </c>
      <c r="I47" t="s">
        <v>239</v>
      </c>
      <c r="J47">
        <v>3</v>
      </c>
    </row>
    <row r="48" spans="1:10" x14ac:dyDescent="0.35">
      <c r="A48" t="s">
        <v>299</v>
      </c>
      <c r="B48" s="4">
        <v>45417</v>
      </c>
      <c r="C48" t="s">
        <v>226</v>
      </c>
      <c r="D48" t="s">
        <v>242</v>
      </c>
      <c r="E48" t="s">
        <v>257</v>
      </c>
      <c r="F48" t="s">
        <v>246</v>
      </c>
      <c r="G48" t="s">
        <v>222</v>
      </c>
      <c r="H48" t="s">
        <v>247</v>
      </c>
      <c r="I48" t="s">
        <v>251</v>
      </c>
      <c r="J48">
        <v>0</v>
      </c>
    </row>
    <row r="49" spans="1:10" x14ac:dyDescent="0.35">
      <c r="A49" t="s">
        <v>300</v>
      </c>
      <c r="B49" s="4">
        <v>45402</v>
      </c>
      <c r="C49" t="s">
        <v>218</v>
      </c>
      <c r="D49" t="s">
        <v>219</v>
      </c>
      <c r="E49" t="s">
        <v>245</v>
      </c>
      <c r="F49" t="s">
        <v>227</v>
      </c>
      <c r="G49" t="s">
        <v>222</v>
      </c>
      <c r="H49" t="s">
        <v>258</v>
      </c>
      <c r="I49" t="s">
        <v>224</v>
      </c>
      <c r="J49">
        <v>1</v>
      </c>
    </row>
    <row r="50" spans="1:10" x14ac:dyDescent="0.35">
      <c r="A50" t="s">
        <v>301</v>
      </c>
      <c r="B50" s="4">
        <v>45466</v>
      </c>
      <c r="C50" t="s">
        <v>265</v>
      </c>
      <c r="D50" t="s">
        <v>242</v>
      </c>
      <c r="E50" t="s">
        <v>257</v>
      </c>
      <c r="F50" t="s">
        <v>246</v>
      </c>
      <c r="G50" t="s">
        <v>253</v>
      </c>
      <c r="H50" t="s">
        <v>234</v>
      </c>
      <c r="I50" t="s">
        <v>248</v>
      </c>
      <c r="J50">
        <v>0</v>
      </c>
    </row>
    <row r="51" spans="1:10" x14ac:dyDescent="0.35">
      <c r="A51" t="s">
        <v>302</v>
      </c>
      <c r="B51" s="4">
        <v>45369</v>
      </c>
      <c r="C51" t="s">
        <v>271</v>
      </c>
      <c r="D51" t="s">
        <v>237</v>
      </c>
      <c r="E51" t="s">
        <v>257</v>
      </c>
      <c r="F51" t="s">
        <v>221</v>
      </c>
      <c r="G51" t="s">
        <v>222</v>
      </c>
      <c r="H51" t="s">
        <v>223</v>
      </c>
      <c r="I51" t="s">
        <v>243</v>
      </c>
      <c r="J51">
        <v>5</v>
      </c>
    </row>
    <row r="52" spans="1:10" x14ac:dyDescent="0.35">
      <c r="A52" t="s">
        <v>303</v>
      </c>
      <c r="B52" s="4">
        <v>45436</v>
      </c>
      <c r="C52" t="s">
        <v>241</v>
      </c>
      <c r="D52" t="s">
        <v>262</v>
      </c>
      <c r="E52" t="s">
        <v>238</v>
      </c>
      <c r="F52" t="s">
        <v>227</v>
      </c>
      <c r="G52" t="s">
        <v>228</v>
      </c>
      <c r="H52" t="s">
        <v>247</v>
      </c>
      <c r="I52" t="s">
        <v>251</v>
      </c>
      <c r="J52">
        <v>2</v>
      </c>
    </row>
    <row r="53" spans="1:10" x14ac:dyDescent="0.35">
      <c r="A53" t="s">
        <v>304</v>
      </c>
      <c r="B53" s="4">
        <v>45383</v>
      </c>
      <c r="C53" t="s">
        <v>256</v>
      </c>
      <c r="D53" t="s">
        <v>237</v>
      </c>
      <c r="E53" t="s">
        <v>231</v>
      </c>
      <c r="F53" t="s">
        <v>232</v>
      </c>
      <c r="G53" t="s">
        <v>222</v>
      </c>
      <c r="H53" t="s">
        <v>223</v>
      </c>
      <c r="I53" t="s">
        <v>248</v>
      </c>
      <c r="J53">
        <v>0</v>
      </c>
    </row>
    <row r="54" spans="1:10" x14ac:dyDescent="0.35">
      <c r="A54" t="s">
        <v>305</v>
      </c>
      <c r="B54" s="4">
        <v>45347</v>
      </c>
      <c r="C54" t="s">
        <v>250</v>
      </c>
      <c r="D54" t="s">
        <v>242</v>
      </c>
      <c r="E54" t="s">
        <v>238</v>
      </c>
      <c r="F54" t="s">
        <v>227</v>
      </c>
      <c r="G54" t="s">
        <v>228</v>
      </c>
      <c r="H54" t="s">
        <v>258</v>
      </c>
      <c r="I54" t="s">
        <v>243</v>
      </c>
      <c r="J54">
        <v>2</v>
      </c>
    </row>
    <row r="55" spans="1:10" x14ac:dyDescent="0.35">
      <c r="A55" t="s">
        <v>306</v>
      </c>
      <c r="B55" s="4">
        <v>45311</v>
      </c>
      <c r="C55" t="s">
        <v>271</v>
      </c>
      <c r="D55" t="s">
        <v>262</v>
      </c>
      <c r="E55" t="s">
        <v>245</v>
      </c>
      <c r="F55" t="s">
        <v>232</v>
      </c>
      <c r="G55" t="s">
        <v>233</v>
      </c>
      <c r="H55" t="s">
        <v>223</v>
      </c>
      <c r="I55" t="s">
        <v>248</v>
      </c>
      <c r="J55">
        <v>3</v>
      </c>
    </row>
    <row r="56" spans="1:10" x14ac:dyDescent="0.35">
      <c r="A56" t="s">
        <v>307</v>
      </c>
      <c r="B56" s="4">
        <v>45345</v>
      </c>
      <c r="C56" t="s">
        <v>218</v>
      </c>
      <c r="D56" t="s">
        <v>242</v>
      </c>
      <c r="E56" t="s">
        <v>238</v>
      </c>
      <c r="F56" t="s">
        <v>232</v>
      </c>
      <c r="G56" t="s">
        <v>222</v>
      </c>
      <c r="H56" t="s">
        <v>258</v>
      </c>
      <c r="I56" t="s">
        <v>248</v>
      </c>
      <c r="J56">
        <v>5</v>
      </c>
    </row>
    <row r="57" spans="1:10" x14ac:dyDescent="0.35">
      <c r="A57" t="s">
        <v>308</v>
      </c>
      <c r="B57" s="4">
        <v>45433</v>
      </c>
      <c r="C57" t="s">
        <v>218</v>
      </c>
      <c r="D57" t="s">
        <v>219</v>
      </c>
      <c r="E57" t="s">
        <v>220</v>
      </c>
      <c r="F57" t="s">
        <v>221</v>
      </c>
      <c r="G57" t="s">
        <v>228</v>
      </c>
      <c r="H57" t="s">
        <v>223</v>
      </c>
      <c r="I57" t="s">
        <v>239</v>
      </c>
      <c r="J57">
        <v>4</v>
      </c>
    </row>
    <row r="58" spans="1:10" x14ac:dyDescent="0.35">
      <c r="A58" t="s">
        <v>309</v>
      </c>
      <c r="B58" s="4">
        <v>45374</v>
      </c>
      <c r="C58" t="s">
        <v>241</v>
      </c>
      <c r="D58" t="s">
        <v>219</v>
      </c>
      <c r="E58" t="s">
        <v>266</v>
      </c>
      <c r="F58" t="s">
        <v>227</v>
      </c>
      <c r="G58" t="s">
        <v>233</v>
      </c>
      <c r="H58" t="s">
        <v>223</v>
      </c>
      <c r="I58" t="s">
        <v>248</v>
      </c>
      <c r="J58">
        <v>3</v>
      </c>
    </row>
    <row r="59" spans="1:10" x14ac:dyDescent="0.35">
      <c r="A59" t="s">
        <v>310</v>
      </c>
      <c r="B59" s="4">
        <v>45433</v>
      </c>
      <c r="C59" t="s">
        <v>241</v>
      </c>
      <c r="D59" t="s">
        <v>219</v>
      </c>
      <c r="E59" t="s">
        <v>266</v>
      </c>
      <c r="F59" t="s">
        <v>232</v>
      </c>
      <c r="G59" t="s">
        <v>233</v>
      </c>
      <c r="H59" t="s">
        <v>247</v>
      </c>
      <c r="I59" t="s">
        <v>251</v>
      </c>
      <c r="J59">
        <v>5</v>
      </c>
    </row>
    <row r="60" spans="1:10" x14ac:dyDescent="0.35">
      <c r="A60" t="s">
        <v>311</v>
      </c>
      <c r="B60" s="4">
        <v>45367</v>
      </c>
      <c r="C60" t="s">
        <v>218</v>
      </c>
      <c r="D60" t="s">
        <v>237</v>
      </c>
      <c r="E60" t="s">
        <v>220</v>
      </c>
      <c r="F60" t="s">
        <v>227</v>
      </c>
      <c r="G60" t="s">
        <v>253</v>
      </c>
      <c r="H60" t="s">
        <v>247</v>
      </c>
      <c r="I60" t="s">
        <v>239</v>
      </c>
      <c r="J60">
        <v>2</v>
      </c>
    </row>
    <row r="61" spans="1:10" x14ac:dyDescent="0.35">
      <c r="A61" t="s">
        <v>312</v>
      </c>
      <c r="B61" s="4">
        <v>45317</v>
      </c>
      <c r="C61" t="s">
        <v>226</v>
      </c>
      <c r="D61" t="s">
        <v>237</v>
      </c>
      <c r="E61" t="s">
        <v>245</v>
      </c>
      <c r="F61" t="s">
        <v>227</v>
      </c>
      <c r="G61" t="s">
        <v>233</v>
      </c>
      <c r="H61" t="s">
        <v>234</v>
      </c>
      <c r="I61" t="s">
        <v>251</v>
      </c>
      <c r="J61">
        <v>4</v>
      </c>
    </row>
    <row r="62" spans="1:10" x14ac:dyDescent="0.35">
      <c r="A62" t="s">
        <v>313</v>
      </c>
      <c r="B62" s="4">
        <v>45426</v>
      </c>
      <c r="C62" t="s">
        <v>236</v>
      </c>
      <c r="D62" t="s">
        <v>219</v>
      </c>
      <c r="E62" t="s">
        <v>245</v>
      </c>
      <c r="F62" t="s">
        <v>246</v>
      </c>
      <c r="G62" t="s">
        <v>222</v>
      </c>
      <c r="H62" t="s">
        <v>234</v>
      </c>
      <c r="I62" t="s">
        <v>248</v>
      </c>
      <c r="J62">
        <v>2</v>
      </c>
    </row>
    <row r="63" spans="1:10" x14ac:dyDescent="0.35">
      <c r="A63" t="s">
        <v>314</v>
      </c>
      <c r="B63" s="4">
        <v>45423</v>
      </c>
      <c r="C63" t="s">
        <v>218</v>
      </c>
      <c r="D63" t="s">
        <v>242</v>
      </c>
      <c r="E63" t="s">
        <v>231</v>
      </c>
      <c r="F63" t="s">
        <v>227</v>
      </c>
      <c r="G63" t="s">
        <v>233</v>
      </c>
      <c r="H63" t="s">
        <v>234</v>
      </c>
      <c r="I63" t="s">
        <v>239</v>
      </c>
      <c r="J63">
        <v>5</v>
      </c>
    </row>
    <row r="64" spans="1:10" x14ac:dyDescent="0.35">
      <c r="A64" t="s">
        <v>315</v>
      </c>
      <c r="B64" s="4">
        <v>45355</v>
      </c>
      <c r="C64" t="s">
        <v>226</v>
      </c>
      <c r="D64" t="s">
        <v>237</v>
      </c>
      <c r="E64" t="s">
        <v>257</v>
      </c>
      <c r="F64" t="s">
        <v>227</v>
      </c>
      <c r="G64" t="s">
        <v>228</v>
      </c>
      <c r="H64" t="s">
        <v>247</v>
      </c>
      <c r="I64" t="s">
        <v>251</v>
      </c>
      <c r="J64">
        <v>5</v>
      </c>
    </row>
    <row r="65" spans="1:10" x14ac:dyDescent="0.35">
      <c r="A65" t="s">
        <v>316</v>
      </c>
      <c r="B65" s="4">
        <v>45453</v>
      </c>
      <c r="C65" t="s">
        <v>265</v>
      </c>
      <c r="D65" t="s">
        <v>242</v>
      </c>
      <c r="E65" t="s">
        <v>220</v>
      </c>
      <c r="F65" t="s">
        <v>221</v>
      </c>
      <c r="G65" t="s">
        <v>233</v>
      </c>
      <c r="H65" t="s">
        <v>258</v>
      </c>
      <c r="I65" t="s">
        <v>239</v>
      </c>
      <c r="J65">
        <v>1</v>
      </c>
    </row>
    <row r="66" spans="1:10" x14ac:dyDescent="0.35">
      <c r="A66" t="s">
        <v>317</v>
      </c>
      <c r="B66" s="4">
        <v>45301</v>
      </c>
      <c r="C66" t="s">
        <v>271</v>
      </c>
      <c r="D66" t="s">
        <v>219</v>
      </c>
      <c r="E66" t="s">
        <v>266</v>
      </c>
      <c r="F66" t="s">
        <v>246</v>
      </c>
      <c r="G66" t="s">
        <v>233</v>
      </c>
      <c r="H66" t="s">
        <v>258</v>
      </c>
      <c r="I66" t="s">
        <v>251</v>
      </c>
      <c r="J66">
        <v>4</v>
      </c>
    </row>
    <row r="67" spans="1:10" x14ac:dyDescent="0.35">
      <c r="A67" t="s">
        <v>318</v>
      </c>
      <c r="B67" s="4">
        <v>45360</v>
      </c>
      <c r="C67" t="s">
        <v>236</v>
      </c>
      <c r="D67" t="s">
        <v>262</v>
      </c>
      <c r="E67" t="s">
        <v>220</v>
      </c>
      <c r="F67" t="s">
        <v>232</v>
      </c>
      <c r="G67" t="s">
        <v>222</v>
      </c>
      <c r="H67" t="s">
        <v>247</v>
      </c>
      <c r="I67" t="s">
        <v>229</v>
      </c>
      <c r="J67">
        <v>1</v>
      </c>
    </row>
    <row r="68" spans="1:10" x14ac:dyDescent="0.35">
      <c r="A68" t="s">
        <v>319</v>
      </c>
      <c r="B68" s="4">
        <v>45367</v>
      </c>
      <c r="C68" t="s">
        <v>256</v>
      </c>
      <c r="D68" t="s">
        <v>219</v>
      </c>
      <c r="E68" t="s">
        <v>257</v>
      </c>
      <c r="F68" t="s">
        <v>232</v>
      </c>
      <c r="G68" t="s">
        <v>253</v>
      </c>
      <c r="H68" t="s">
        <v>247</v>
      </c>
      <c r="I68" t="s">
        <v>224</v>
      </c>
      <c r="J68">
        <v>2</v>
      </c>
    </row>
    <row r="69" spans="1:10" x14ac:dyDescent="0.35">
      <c r="A69" t="s">
        <v>320</v>
      </c>
      <c r="B69" s="4">
        <v>45337</v>
      </c>
      <c r="C69" t="s">
        <v>241</v>
      </c>
      <c r="D69" t="s">
        <v>237</v>
      </c>
      <c r="E69" t="s">
        <v>231</v>
      </c>
      <c r="F69" t="s">
        <v>221</v>
      </c>
      <c r="G69" t="s">
        <v>253</v>
      </c>
      <c r="H69" t="s">
        <v>234</v>
      </c>
      <c r="I69" t="s">
        <v>251</v>
      </c>
      <c r="J69">
        <v>1</v>
      </c>
    </row>
    <row r="70" spans="1:10" x14ac:dyDescent="0.35">
      <c r="A70" t="s">
        <v>321</v>
      </c>
      <c r="B70" s="4">
        <v>45417</v>
      </c>
      <c r="C70" t="s">
        <v>241</v>
      </c>
      <c r="D70" t="s">
        <v>219</v>
      </c>
      <c r="E70" t="s">
        <v>231</v>
      </c>
      <c r="F70" t="s">
        <v>232</v>
      </c>
      <c r="G70" t="s">
        <v>228</v>
      </c>
      <c r="H70" t="s">
        <v>223</v>
      </c>
      <c r="I70" t="s">
        <v>248</v>
      </c>
      <c r="J70">
        <v>3</v>
      </c>
    </row>
    <row r="71" spans="1:10" x14ac:dyDescent="0.35">
      <c r="A71" t="s">
        <v>322</v>
      </c>
      <c r="B71" s="4">
        <v>45408</v>
      </c>
      <c r="C71" t="s">
        <v>226</v>
      </c>
      <c r="D71" t="s">
        <v>242</v>
      </c>
      <c r="E71" t="s">
        <v>257</v>
      </c>
      <c r="F71" t="s">
        <v>246</v>
      </c>
      <c r="G71" t="s">
        <v>233</v>
      </c>
      <c r="H71" t="s">
        <v>223</v>
      </c>
      <c r="I71" t="s">
        <v>224</v>
      </c>
      <c r="J71">
        <v>0</v>
      </c>
    </row>
    <row r="72" spans="1:10" x14ac:dyDescent="0.35">
      <c r="A72" t="s">
        <v>323</v>
      </c>
      <c r="B72" s="4">
        <v>45302</v>
      </c>
      <c r="C72" t="s">
        <v>271</v>
      </c>
      <c r="D72" t="s">
        <v>242</v>
      </c>
      <c r="E72" t="s">
        <v>231</v>
      </c>
      <c r="F72" t="s">
        <v>227</v>
      </c>
      <c r="G72" t="s">
        <v>228</v>
      </c>
      <c r="H72" t="s">
        <v>247</v>
      </c>
      <c r="I72" t="s">
        <v>251</v>
      </c>
      <c r="J72">
        <v>4</v>
      </c>
    </row>
    <row r="73" spans="1:10" x14ac:dyDescent="0.35">
      <c r="A73" t="s">
        <v>324</v>
      </c>
      <c r="B73" s="4">
        <v>45430</v>
      </c>
      <c r="C73" t="s">
        <v>265</v>
      </c>
      <c r="D73" t="s">
        <v>260</v>
      </c>
      <c r="E73" t="s">
        <v>245</v>
      </c>
      <c r="F73" t="s">
        <v>221</v>
      </c>
      <c r="G73" t="s">
        <v>222</v>
      </c>
      <c r="H73" t="s">
        <v>247</v>
      </c>
      <c r="I73" t="s">
        <v>224</v>
      </c>
      <c r="J73">
        <v>2</v>
      </c>
    </row>
    <row r="74" spans="1:10" x14ac:dyDescent="0.35">
      <c r="A74" t="s">
        <v>325</v>
      </c>
      <c r="B74" s="4">
        <v>45448</v>
      </c>
      <c r="C74" t="s">
        <v>226</v>
      </c>
      <c r="D74" t="s">
        <v>242</v>
      </c>
      <c r="E74" t="s">
        <v>266</v>
      </c>
      <c r="F74" t="s">
        <v>246</v>
      </c>
      <c r="G74" t="s">
        <v>222</v>
      </c>
      <c r="H74" t="s">
        <v>258</v>
      </c>
      <c r="I74" t="s">
        <v>248</v>
      </c>
      <c r="J74">
        <v>4</v>
      </c>
    </row>
    <row r="75" spans="1:10" x14ac:dyDescent="0.35">
      <c r="A75" t="s">
        <v>326</v>
      </c>
      <c r="B75" s="4">
        <v>45352</v>
      </c>
      <c r="C75" t="s">
        <v>241</v>
      </c>
      <c r="D75" t="s">
        <v>242</v>
      </c>
      <c r="E75" t="s">
        <v>257</v>
      </c>
      <c r="F75" t="s">
        <v>232</v>
      </c>
      <c r="G75" t="s">
        <v>222</v>
      </c>
      <c r="H75" t="s">
        <v>247</v>
      </c>
      <c r="I75" t="s">
        <v>243</v>
      </c>
      <c r="J75">
        <v>1</v>
      </c>
    </row>
    <row r="76" spans="1:10" x14ac:dyDescent="0.35">
      <c r="A76" t="s">
        <v>327</v>
      </c>
      <c r="B76" s="4">
        <v>45460</v>
      </c>
      <c r="C76" t="s">
        <v>241</v>
      </c>
      <c r="D76" t="s">
        <v>242</v>
      </c>
      <c r="E76" t="s">
        <v>245</v>
      </c>
      <c r="F76" t="s">
        <v>221</v>
      </c>
      <c r="G76" t="s">
        <v>253</v>
      </c>
      <c r="H76" t="s">
        <v>234</v>
      </c>
      <c r="I76" t="s">
        <v>248</v>
      </c>
      <c r="J76">
        <v>3</v>
      </c>
    </row>
    <row r="77" spans="1:10" x14ac:dyDescent="0.35">
      <c r="A77" t="s">
        <v>328</v>
      </c>
      <c r="B77" s="4">
        <v>45399</v>
      </c>
      <c r="C77" t="s">
        <v>271</v>
      </c>
      <c r="D77" t="s">
        <v>262</v>
      </c>
      <c r="E77" t="s">
        <v>266</v>
      </c>
      <c r="F77" t="s">
        <v>246</v>
      </c>
      <c r="G77" t="s">
        <v>228</v>
      </c>
      <c r="H77" t="s">
        <v>223</v>
      </c>
      <c r="I77" t="s">
        <v>229</v>
      </c>
      <c r="J77">
        <v>4</v>
      </c>
    </row>
    <row r="78" spans="1:10" x14ac:dyDescent="0.35">
      <c r="A78" t="s">
        <v>329</v>
      </c>
      <c r="B78" s="4">
        <v>45437</v>
      </c>
      <c r="C78" t="s">
        <v>241</v>
      </c>
      <c r="D78" t="s">
        <v>260</v>
      </c>
      <c r="E78" t="s">
        <v>238</v>
      </c>
      <c r="F78" t="s">
        <v>246</v>
      </c>
      <c r="G78" t="s">
        <v>222</v>
      </c>
      <c r="H78" t="s">
        <v>234</v>
      </c>
      <c r="I78" t="s">
        <v>243</v>
      </c>
      <c r="J78">
        <v>4</v>
      </c>
    </row>
    <row r="79" spans="1:10" x14ac:dyDescent="0.35">
      <c r="A79" t="s">
        <v>330</v>
      </c>
      <c r="B79" s="4">
        <v>45330</v>
      </c>
      <c r="C79" t="s">
        <v>265</v>
      </c>
      <c r="D79" t="s">
        <v>260</v>
      </c>
      <c r="E79" t="s">
        <v>238</v>
      </c>
      <c r="F79" t="s">
        <v>221</v>
      </c>
      <c r="G79" t="s">
        <v>233</v>
      </c>
      <c r="H79" t="s">
        <v>247</v>
      </c>
      <c r="I79" t="s">
        <v>239</v>
      </c>
      <c r="J79">
        <v>2</v>
      </c>
    </row>
    <row r="80" spans="1:10" x14ac:dyDescent="0.35">
      <c r="A80" t="s">
        <v>331</v>
      </c>
      <c r="B80" s="4">
        <v>45382</v>
      </c>
      <c r="C80" t="s">
        <v>265</v>
      </c>
      <c r="D80" t="s">
        <v>262</v>
      </c>
      <c r="E80" t="s">
        <v>245</v>
      </c>
      <c r="F80" t="s">
        <v>221</v>
      </c>
      <c r="G80" t="s">
        <v>228</v>
      </c>
      <c r="H80" t="s">
        <v>234</v>
      </c>
      <c r="I80" t="s">
        <v>224</v>
      </c>
      <c r="J80">
        <v>0</v>
      </c>
    </row>
    <row r="81" spans="1:10" x14ac:dyDescent="0.35">
      <c r="A81" t="s">
        <v>332</v>
      </c>
      <c r="B81" s="4">
        <v>45329</v>
      </c>
      <c r="C81" t="s">
        <v>226</v>
      </c>
      <c r="D81" t="s">
        <v>237</v>
      </c>
      <c r="E81" t="s">
        <v>266</v>
      </c>
      <c r="F81" t="s">
        <v>221</v>
      </c>
      <c r="G81" t="s">
        <v>253</v>
      </c>
      <c r="H81" t="s">
        <v>247</v>
      </c>
      <c r="I81" t="s">
        <v>224</v>
      </c>
      <c r="J81">
        <v>5</v>
      </c>
    </row>
    <row r="82" spans="1:10" x14ac:dyDescent="0.35">
      <c r="A82" t="s">
        <v>333</v>
      </c>
      <c r="B82" s="4">
        <v>45375</v>
      </c>
      <c r="C82" t="s">
        <v>256</v>
      </c>
      <c r="D82" t="s">
        <v>219</v>
      </c>
      <c r="E82" t="s">
        <v>220</v>
      </c>
      <c r="F82" t="s">
        <v>246</v>
      </c>
      <c r="G82" t="s">
        <v>222</v>
      </c>
      <c r="H82" t="s">
        <v>247</v>
      </c>
      <c r="I82" t="s">
        <v>229</v>
      </c>
      <c r="J82">
        <v>4</v>
      </c>
    </row>
    <row r="83" spans="1:10" x14ac:dyDescent="0.35">
      <c r="A83" t="s">
        <v>334</v>
      </c>
      <c r="B83" s="4">
        <v>45320</v>
      </c>
      <c r="C83" t="s">
        <v>250</v>
      </c>
      <c r="D83" t="s">
        <v>237</v>
      </c>
      <c r="E83" t="s">
        <v>245</v>
      </c>
      <c r="F83" t="s">
        <v>221</v>
      </c>
      <c r="G83" t="s">
        <v>222</v>
      </c>
      <c r="H83" t="s">
        <v>258</v>
      </c>
      <c r="I83" t="s">
        <v>229</v>
      </c>
      <c r="J83">
        <v>0</v>
      </c>
    </row>
    <row r="84" spans="1:10" x14ac:dyDescent="0.35">
      <c r="A84" t="s">
        <v>335</v>
      </c>
      <c r="B84" s="4">
        <v>45404</v>
      </c>
      <c r="C84" t="s">
        <v>256</v>
      </c>
      <c r="D84" t="s">
        <v>237</v>
      </c>
      <c r="E84" t="s">
        <v>266</v>
      </c>
      <c r="F84" t="s">
        <v>232</v>
      </c>
      <c r="G84" t="s">
        <v>253</v>
      </c>
      <c r="H84" t="s">
        <v>234</v>
      </c>
      <c r="I84" t="s">
        <v>224</v>
      </c>
      <c r="J84">
        <v>3</v>
      </c>
    </row>
    <row r="85" spans="1:10" x14ac:dyDescent="0.35">
      <c r="A85" t="s">
        <v>336</v>
      </c>
      <c r="B85" s="4">
        <v>45424</v>
      </c>
      <c r="C85" t="s">
        <v>226</v>
      </c>
      <c r="D85" t="s">
        <v>260</v>
      </c>
      <c r="E85" t="s">
        <v>257</v>
      </c>
      <c r="F85" t="s">
        <v>232</v>
      </c>
      <c r="G85" t="s">
        <v>228</v>
      </c>
      <c r="H85" t="s">
        <v>223</v>
      </c>
      <c r="I85" t="s">
        <v>243</v>
      </c>
      <c r="J85">
        <v>4</v>
      </c>
    </row>
    <row r="86" spans="1:10" x14ac:dyDescent="0.35">
      <c r="A86" t="s">
        <v>337</v>
      </c>
      <c r="B86" s="4">
        <v>45319</v>
      </c>
      <c r="C86" t="s">
        <v>236</v>
      </c>
      <c r="D86" t="s">
        <v>219</v>
      </c>
      <c r="E86" t="s">
        <v>257</v>
      </c>
      <c r="F86" t="s">
        <v>246</v>
      </c>
      <c r="G86" t="s">
        <v>233</v>
      </c>
      <c r="H86" t="s">
        <v>258</v>
      </c>
      <c r="I86" t="s">
        <v>239</v>
      </c>
      <c r="J86">
        <v>2</v>
      </c>
    </row>
    <row r="87" spans="1:10" x14ac:dyDescent="0.35">
      <c r="A87" t="s">
        <v>338</v>
      </c>
      <c r="B87" s="4">
        <v>45308</v>
      </c>
      <c r="C87" t="s">
        <v>250</v>
      </c>
      <c r="D87" t="s">
        <v>242</v>
      </c>
      <c r="E87" t="s">
        <v>238</v>
      </c>
      <c r="F87" t="s">
        <v>227</v>
      </c>
      <c r="G87" t="s">
        <v>253</v>
      </c>
      <c r="H87" t="s">
        <v>258</v>
      </c>
      <c r="I87" t="s">
        <v>251</v>
      </c>
      <c r="J87">
        <v>3</v>
      </c>
    </row>
    <row r="88" spans="1:10" x14ac:dyDescent="0.35">
      <c r="A88" t="s">
        <v>339</v>
      </c>
      <c r="B88" s="4">
        <v>45302</v>
      </c>
      <c r="C88" t="s">
        <v>271</v>
      </c>
      <c r="D88" t="s">
        <v>242</v>
      </c>
      <c r="E88" t="s">
        <v>245</v>
      </c>
      <c r="F88" t="s">
        <v>221</v>
      </c>
      <c r="G88" t="s">
        <v>222</v>
      </c>
      <c r="H88" t="s">
        <v>258</v>
      </c>
      <c r="I88" t="s">
        <v>248</v>
      </c>
      <c r="J88">
        <v>2</v>
      </c>
    </row>
    <row r="89" spans="1:10" x14ac:dyDescent="0.35">
      <c r="A89" t="s">
        <v>340</v>
      </c>
      <c r="B89" s="4">
        <v>45457</v>
      </c>
      <c r="C89" t="s">
        <v>256</v>
      </c>
      <c r="D89" t="s">
        <v>242</v>
      </c>
      <c r="E89" t="s">
        <v>257</v>
      </c>
      <c r="F89" t="s">
        <v>232</v>
      </c>
      <c r="G89" t="s">
        <v>253</v>
      </c>
      <c r="H89" t="s">
        <v>223</v>
      </c>
      <c r="I89" t="s">
        <v>239</v>
      </c>
      <c r="J89">
        <v>1</v>
      </c>
    </row>
    <row r="90" spans="1:10" x14ac:dyDescent="0.35">
      <c r="A90" t="s">
        <v>341</v>
      </c>
      <c r="B90" s="4">
        <v>45373</v>
      </c>
      <c r="C90" t="s">
        <v>218</v>
      </c>
      <c r="D90" t="s">
        <v>260</v>
      </c>
      <c r="E90" t="s">
        <v>231</v>
      </c>
      <c r="F90" t="s">
        <v>232</v>
      </c>
      <c r="G90" t="s">
        <v>222</v>
      </c>
      <c r="H90" t="s">
        <v>223</v>
      </c>
      <c r="I90" t="s">
        <v>243</v>
      </c>
      <c r="J90">
        <v>2</v>
      </c>
    </row>
    <row r="91" spans="1:10" x14ac:dyDescent="0.35">
      <c r="A91" t="s">
        <v>342</v>
      </c>
      <c r="B91" s="4">
        <v>45445</v>
      </c>
      <c r="C91" t="s">
        <v>265</v>
      </c>
      <c r="D91" t="s">
        <v>260</v>
      </c>
      <c r="E91" t="s">
        <v>220</v>
      </c>
      <c r="F91" t="s">
        <v>227</v>
      </c>
      <c r="G91" t="s">
        <v>222</v>
      </c>
      <c r="H91" t="s">
        <v>247</v>
      </c>
      <c r="I91" t="s">
        <v>251</v>
      </c>
      <c r="J91">
        <v>0</v>
      </c>
    </row>
    <row r="92" spans="1:10" x14ac:dyDescent="0.35">
      <c r="A92" t="s">
        <v>343</v>
      </c>
      <c r="B92" s="4">
        <v>45294</v>
      </c>
      <c r="C92" t="s">
        <v>226</v>
      </c>
      <c r="D92" t="s">
        <v>237</v>
      </c>
      <c r="E92" t="s">
        <v>245</v>
      </c>
      <c r="F92" t="s">
        <v>221</v>
      </c>
      <c r="G92" t="s">
        <v>222</v>
      </c>
      <c r="H92" t="s">
        <v>258</v>
      </c>
      <c r="I92" t="s">
        <v>224</v>
      </c>
      <c r="J92">
        <v>1</v>
      </c>
    </row>
    <row r="93" spans="1:10" x14ac:dyDescent="0.35">
      <c r="A93" t="s">
        <v>344</v>
      </c>
      <c r="B93" s="4">
        <v>45458</v>
      </c>
      <c r="C93" t="s">
        <v>271</v>
      </c>
      <c r="D93" t="s">
        <v>262</v>
      </c>
      <c r="E93" t="s">
        <v>220</v>
      </c>
      <c r="F93" t="s">
        <v>227</v>
      </c>
      <c r="G93" t="s">
        <v>233</v>
      </c>
      <c r="H93" t="s">
        <v>234</v>
      </c>
      <c r="I93" t="s">
        <v>251</v>
      </c>
      <c r="J93">
        <v>4</v>
      </c>
    </row>
    <row r="94" spans="1:10" x14ac:dyDescent="0.35">
      <c r="A94" t="s">
        <v>345</v>
      </c>
      <c r="B94" s="4">
        <v>45369</v>
      </c>
      <c r="C94" t="s">
        <v>218</v>
      </c>
      <c r="D94" t="s">
        <v>237</v>
      </c>
      <c r="E94" t="s">
        <v>266</v>
      </c>
      <c r="F94" t="s">
        <v>221</v>
      </c>
      <c r="G94" t="s">
        <v>228</v>
      </c>
      <c r="H94" t="s">
        <v>234</v>
      </c>
      <c r="I94" t="s">
        <v>229</v>
      </c>
      <c r="J94">
        <v>1</v>
      </c>
    </row>
    <row r="95" spans="1:10" x14ac:dyDescent="0.35">
      <c r="A95" t="s">
        <v>346</v>
      </c>
      <c r="B95" s="4">
        <v>45389</v>
      </c>
      <c r="C95" t="s">
        <v>236</v>
      </c>
      <c r="D95" t="s">
        <v>262</v>
      </c>
      <c r="E95" t="s">
        <v>257</v>
      </c>
      <c r="F95" t="s">
        <v>227</v>
      </c>
      <c r="G95" t="s">
        <v>253</v>
      </c>
      <c r="H95" t="s">
        <v>258</v>
      </c>
      <c r="I95" t="s">
        <v>229</v>
      </c>
      <c r="J95">
        <v>5</v>
      </c>
    </row>
    <row r="96" spans="1:10" x14ac:dyDescent="0.35">
      <c r="A96" t="s">
        <v>347</v>
      </c>
      <c r="B96" s="4">
        <v>45456</v>
      </c>
      <c r="C96" t="s">
        <v>271</v>
      </c>
      <c r="D96" t="s">
        <v>242</v>
      </c>
      <c r="E96" t="s">
        <v>231</v>
      </c>
      <c r="F96" t="s">
        <v>221</v>
      </c>
      <c r="G96" t="s">
        <v>228</v>
      </c>
      <c r="H96" t="s">
        <v>234</v>
      </c>
      <c r="I96" t="s">
        <v>229</v>
      </c>
      <c r="J96">
        <v>0</v>
      </c>
    </row>
    <row r="97" spans="1:10" x14ac:dyDescent="0.35">
      <c r="A97" t="s">
        <v>348</v>
      </c>
      <c r="B97" s="4">
        <v>45342</v>
      </c>
      <c r="C97" t="s">
        <v>226</v>
      </c>
      <c r="D97" t="s">
        <v>237</v>
      </c>
      <c r="E97" t="s">
        <v>231</v>
      </c>
      <c r="F97" t="s">
        <v>221</v>
      </c>
      <c r="G97" t="s">
        <v>228</v>
      </c>
      <c r="H97" t="s">
        <v>247</v>
      </c>
      <c r="I97" t="s">
        <v>248</v>
      </c>
      <c r="J97">
        <v>3</v>
      </c>
    </row>
    <row r="98" spans="1:10" x14ac:dyDescent="0.35">
      <c r="A98" t="s">
        <v>349</v>
      </c>
      <c r="B98" s="4">
        <v>45313</v>
      </c>
      <c r="C98" t="s">
        <v>241</v>
      </c>
      <c r="D98" t="s">
        <v>242</v>
      </c>
      <c r="E98" t="s">
        <v>245</v>
      </c>
      <c r="F98" t="s">
        <v>221</v>
      </c>
      <c r="G98" t="s">
        <v>233</v>
      </c>
      <c r="H98" t="s">
        <v>247</v>
      </c>
      <c r="I98" t="s">
        <v>248</v>
      </c>
      <c r="J98">
        <v>5</v>
      </c>
    </row>
    <row r="99" spans="1:10" x14ac:dyDescent="0.35">
      <c r="A99" t="s">
        <v>350</v>
      </c>
      <c r="B99" s="4">
        <v>45403</v>
      </c>
      <c r="C99" t="s">
        <v>250</v>
      </c>
      <c r="D99" t="s">
        <v>260</v>
      </c>
      <c r="E99" t="s">
        <v>238</v>
      </c>
      <c r="F99" t="s">
        <v>232</v>
      </c>
      <c r="G99" t="s">
        <v>228</v>
      </c>
      <c r="H99" t="s">
        <v>234</v>
      </c>
      <c r="I99" t="s">
        <v>248</v>
      </c>
      <c r="J99">
        <v>3</v>
      </c>
    </row>
    <row r="100" spans="1:10" x14ac:dyDescent="0.35">
      <c r="A100" t="s">
        <v>351</v>
      </c>
      <c r="B100" s="4">
        <v>45390</v>
      </c>
      <c r="C100" t="s">
        <v>250</v>
      </c>
      <c r="D100" t="s">
        <v>262</v>
      </c>
      <c r="E100" t="s">
        <v>257</v>
      </c>
      <c r="F100" t="s">
        <v>232</v>
      </c>
      <c r="G100" t="s">
        <v>253</v>
      </c>
      <c r="H100" t="s">
        <v>258</v>
      </c>
      <c r="I100" t="s">
        <v>251</v>
      </c>
      <c r="J100">
        <v>0</v>
      </c>
    </row>
    <row r="101" spans="1:10" x14ac:dyDescent="0.35">
      <c r="A101" t="s">
        <v>352</v>
      </c>
      <c r="B101" s="4">
        <v>45464</v>
      </c>
      <c r="C101" t="s">
        <v>271</v>
      </c>
      <c r="D101" t="s">
        <v>219</v>
      </c>
      <c r="E101" t="s">
        <v>220</v>
      </c>
      <c r="F101" t="s">
        <v>221</v>
      </c>
      <c r="G101" t="s">
        <v>253</v>
      </c>
      <c r="H101" t="s">
        <v>247</v>
      </c>
      <c r="I101" t="s">
        <v>248</v>
      </c>
      <c r="J101">
        <v>4</v>
      </c>
    </row>
    <row r="102" spans="1:10" x14ac:dyDescent="0.35">
      <c r="A102" t="s">
        <v>353</v>
      </c>
      <c r="B102" s="4">
        <v>45317</v>
      </c>
      <c r="C102" t="s">
        <v>256</v>
      </c>
      <c r="D102" t="s">
        <v>262</v>
      </c>
      <c r="E102" t="s">
        <v>257</v>
      </c>
      <c r="F102" t="s">
        <v>232</v>
      </c>
      <c r="G102" t="s">
        <v>228</v>
      </c>
      <c r="H102" t="s">
        <v>258</v>
      </c>
      <c r="I102" t="s">
        <v>224</v>
      </c>
      <c r="J102">
        <v>2</v>
      </c>
    </row>
  </sheetData>
  <mergeCells count="1">
    <mergeCell ref="A1:K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8C4D5-2C91-49D2-9958-6C31B09A7A40}">
  <sheetPr codeName="Sheet4"/>
  <dimension ref="A1:K20"/>
  <sheetViews>
    <sheetView topLeftCell="A19" zoomScale="108" workbookViewId="0">
      <selection activeCell="C6" sqref="C6"/>
    </sheetView>
  </sheetViews>
  <sheetFormatPr defaultRowHeight="14.5" x14ac:dyDescent="0.35"/>
  <cols>
    <col min="1" max="1" width="17.26953125" bestFit="1" customWidth="1"/>
    <col min="2" max="2" width="21.7265625" bestFit="1" customWidth="1"/>
    <col min="3" max="3" width="5.7265625" bestFit="1" customWidth="1"/>
    <col min="4" max="4" width="5.453125" bestFit="1" customWidth="1"/>
    <col min="5" max="5" width="6.36328125" bestFit="1" customWidth="1"/>
    <col min="6" max="6" width="10.7265625" bestFit="1" customWidth="1"/>
    <col min="7" max="7" width="3.6328125" customWidth="1"/>
    <col min="8" max="8" width="17.26953125" bestFit="1" customWidth="1"/>
    <col min="9" max="9" width="21.7265625" bestFit="1" customWidth="1"/>
    <col min="10" max="10" width="4.7265625" customWidth="1"/>
    <col min="11" max="11" width="15.7265625" bestFit="1" customWidth="1"/>
    <col min="12" max="12" width="16.36328125" bestFit="1" customWidth="1"/>
    <col min="13" max="13" width="6.6328125" bestFit="1" customWidth="1"/>
    <col min="14" max="14" width="3.81640625" bestFit="1" customWidth="1"/>
    <col min="15" max="15" width="3.6328125" bestFit="1" customWidth="1"/>
    <col min="16" max="16" width="10.26953125" bestFit="1" customWidth="1"/>
    <col min="17" max="17" width="5.453125" bestFit="1" customWidth="1"/>
    <col min="18" max="19" width="10.7265625" bestFit="1" customWidth="1"/>
  </cols>
  <sheetData>
    <row r="1" spans="1:11" ht="28.5" x14ac:dyDescent="0.35">
      <c r="A1" s="17" t="s">
        <v>371</v>
      </c>
      <c r="B1" s="16"/>
      <c r="C1" s="16"/>
      <c r="D1" s="16"/>
      <c r="E1" s="16"/>
      <c r="F1" s="16"/>
      <c r="G1" s="16"/>
      <c r="H1" s="16"/>
      <c r="I1" s="16"/>
      <c r="J1" s="16"/>
      <c r="K1" s="16"/>
    </row>
    <row r="2" spans="1:11" ht="18.5" x14ac:dyDescent="0.35">
      <c r="A2" s="10" t="s">
        <v>360</v>
      </c>
      <c r="B2" s="10"/>
      <c r="D2" s="11" t="s">
        <v>362</v>
      </c>
      <c r="E2" s="11"/>
      <c r="F2" s="11"/>
      <c r="G2" s="11"/>
      <c r="H2" s="11"/>
      <c r="I2" s="11"/>
      <c r="J2" s="11"/>
      <c r="K2" s="11"/>
    </row>
    <row r="3" spans="1:11" x14ac:dyDescent="0.35">
      <c r="A3" s="5" t="s">
        <v>354</v>
      </c>
      <c r="B3" t="s">
        <v>359</v>
      </c>
      <c r="D3" s="5" t="s">
        <v>361</v>
      </c>
      <c r="E3" s="5" t="s">
        <v>356</v>
      </c>
    </row>
    <row r="4" spans="1:11" x14ac:dyDescent="0.35">
      <c r="A4" s="6" t="s">
        <v>228</v>
      </c>
      <c r="B4" s="12">
        <v>27</v>
      </c>
      <c r="D4" s="5" t="s">
        <v>354</v>
      </c>
      <c r="E4" t="s">
        <v>220</v>
      </c>
      <c r="F4" t="s">
        <v>231</v>
      </c>
      <c r="G4" t="s">
        <v>266</v>
      </c>
      <c r="H4" t="s">
        <v>245</v>
      </c>
      <c r="I4" t="s">
        <v>257</v>
      </c>
      <c r="J4" t="s">
        <v>238</v>
      </c>
      <c r="K4" t="s">
        <v>355</v>
      </c>
    </row>
    <row r="5" spans="1:11" x14ac:dyDescent="0.35">
      <c r="A5" s="6" t="s">
        <v>222</v>
      </c>
      <c r="B5" s="12">
        <v>23</v>
      </c>
      <c r="D5" s="6" t="s">
        <v>239</v>
      </c>
      <c r="E5" s="12">
        <v>11</v>
      </c>
      <c r="F5" s="12">
        <v>16</v>
      </c>
      <c r="G5" s="12">
        <v>3</v>
      </c>
      <c r="H5" s="12">
        <v>3</v>
      </c>
      <c r="I5" s="12">
        <v>4</v>
      </c>
      <c r="J5" s="12">
        <v>6</v>
      </c>
      <c r="K5" s="12">
        <v>43</v>
      </c>
    </row>
    <row r="6" spans="1:11" x14ac:dyDescent="0.35">
      <c r="A6" s="6" t="s">
        <v>233</v>
      </c>
      <c r="B6" s="12">
        <v>28</v>
      </c>
      <c r="D6" s="6" t="s">
        <v>229</v>
      </c>
      <c r="E6" s="12">
        <v>10</v>
      </c>
      <c r="F6" s="12">
        <v>0</v>
      </c>
      <c r="G6" s="12">
        <v>5</v>
      </c>
      <c r="H6" s="12">
        <v>0</v>
      </c>
      <c r="I6" s="12">
        <v>14</v>
      </c>
      <c r="J6" s="12">
        <v>5</v>
      </c>
      <c r="K6" s="12">
        <v>34</v>
      </c>
    </row>
    <row r="7" spans="1:11" x14ac:dyDescent="0.35">
      <c r="A7" s="6" t="s">
        <v>253</v>
      </c>
      <c r="B7" s="12">
        <v>22</v>
      </c>
      <c r="D7" s="6" t="s">
        <v>248</v>
      </c>
      <c r="E7" s="12">
        <v>6</v>
      </c>
      <c r="F7" s="12">
        <v>7</v>
      </c>
      <c r="G7" s="12">
        <v>9</v>
      </c>
      <c r="H7" s="12">
        <v>19</v>
      </c>
      <c r="I7" s="12">
        <v>5</v>
      </c>
      <c r="J7" s="12">
        <v>8</v>
      </c>
      <c r="K7" s="12">
        <v>54</v>
      </c>
    </row>
    <row r="8" spans="1:11" x14ac:dyDescent="0.35">
      <c r="A8" s="6" t="s">
        <v>355</v>
      </c>
      <c r="B8" s="12">
        <v>100</v>
      </c>
      <c r="D8" s="6" t="s">
        <v>224</v>
      </c>
      <c r="E8" s="12">
        <v>0</v>
      </c>
      <c r="F8" s="12">
        <v>3</v>
      </c>
      <c r="G8" s="12">
        <v>8</v>
      </c>
      <c r="H8" s="12">
        <v>7</v>
      </c>
      <c r="I8" s="12">
        <v>14</v>
      </c>
      <c r="J8" s="12">
        <v>0</v>
      </c>
      <c r="K8" s="12">
        <v>32</v>
      </c>
    </row>
    <row r="9" spans="1:11" x14ac:dyDescent="0.35">
      <c r="D9" s="6" t="s">
        <v>251</v>
      </c>
      <c r="E9" s="12">
        <v>4</v>
      </c>
      <c r="F9" s="12">
        <v>6</v>
      </c>
      <c r="G9" s="12">
        <v>9</v>
      </c>
      <c r="H9" s="12">
        <v>15</v>
      </c>
      <c r="I9" s="12">
        <v>10</v>
      </c>
      <c r="J9" s="12">
        <v>8</v>
      </c>
      <c r="K9" s="12">
        <v>52</v>
      </c>
    </row>
    <row r="10" spans="1:11" ht="18.5" x14ac:dyDescent="0.45">
      <c r="A10" s="15" t="s">
        <v>370</v>
      </c>
      <c r="B10" s="15"/>
      <c r="D10" s="6" t="s">
        <v>243</v>
      </c>
      <c r="E10" s="12">
        <v>5</v>
      </c>
      <c r="F10" s="12">
        <v>6</v>
      </c>
      <c r="G10" s="12">
        <v>0</v>
      </c>
      <c r="H10" s="12">
        <v>6</v>
      </c>
      <c r="I10" s="12">
        <v>10</v>
      </c>
      <c r="J10" s="12">
        <v>10</v>
      </c>
      <c r="K10" s="12">
        <v>37</v>
      </c>
    </row>
    <row r="11" spans="1:11" x14ac:dyDescent="0.35">
      <c r="A11" s="5" t="s">
        <v>354</v>
      </c>
      <c r="B11" t="s">
        <v>363</v>
      </c>
      <c r="D11" s="6" t="s">
        <v>355</v>
      </c>
      <c r="E11" s="12">
        <v>36</v>
      </c>
      <c r="F11" s="12">
        <v>38</v>
      </c>
      <c r="G11" s="12">
        <v>34</v>
      </c>
      <c r="H11" s="12">
        <v>50</v>
      </c>
      <c r="I11" s="12">
        <v>57</v>
      </c>
      <c r="J11" s="12">
        <v>37</v>
      </c>
      <c r="K11" s="12">
        <v>252</v>
      </c>
    </row>
    <row r="12" spans="1:11" x14ac:dyDescent="0.35">
      <c r="A12" s="6" t="s">
        <v>364</v>
      </c>
      <c r="B12" s="12">
        <v>21</v>
      </c>
    </row>
    <row r="13" spans="1:11" ht="15.5" x14ac:dyDescent="0.35">
      <c r="A13" s="6" t="s">
        <v>365</v>
      </c>
      <c r="B13" s="12">
        <v>11</v>
      </c>
      <c r="D13" s="9" t="s">
        <v>358</v>
      </c>
      <c r="E13" s="9"/>
      <c r="F13" s="9"/>
      <c r="G13" s="9"/>
      <c r="H13" s="9"/>
      <c r="I13" s="9"/>
    </row>
    <row r="14" spans="1:11" x14ac:dyDescent="0.35">
      <c r="A14" s="6" t="s">
        <v>366</v>
      </c>
      <c r="B14" s="12">
        <v>22</v>
      </c>
      <c r="D14" s="5" t="s">
        <v>357</v>
      </c>
      <c r="E14" s="5" t="s">
        <v>356</v>
      </c>
    </row>
    <row r="15" spans="1:11" x14ac:dyDescent="0.35">
      <c r="A15" s="6" t="s">
        <v>367</v>
      </c>
      <c r="B15" s="12">
        <v>15</v>
      </c>
      <c r="D15" s="5" t="s">
        <v>354</v>
      </c>
      <c r="E15" t="s">
        <v>221</v>
      </c>
      <c r="F15" t="s">
        <v>227</v>
      </c>
      <c r="G15" t="s">
        <v>246</v>
      </c>
      <c r="H15" t="s">
        <v>232</v>
      </c>
      <c r="I15" t="s">
        <v>355</v>
      </c>
    </row>
    <row r="16" spans="1:11" x14ac:dyDescent="0.35">
      <c r="A16" s="6" t="s">
        <v>368</v>
      </c>
      <c r="B16" s="12">
        <v>15</v>
      </c>
      <c r="D16" s="6" t="s">
        <v>234</v>
      </c>
      <c r="E16" s="12">
        <v>7</v>
      </c>
      <c r="F16" s="12">
        <v>5</v>
      </c>
      <c r="G16" s="12">
        <v>6</v>
      </c>
      <c r="H16" s="12">
        <v>6</v>
      </c>
      <c r="I16" s="12">
        <v>24</v>
      </c>
    </row>
    <row r="17" spans="1:9" x14ac:dyDescent="0.35">
      <c r="A17" s="6" t="s">
        <v>369</v>
      </c>
      <c r="B17" s="12">
        <v>16</v>
      </c>
      <c r="D17" s="6" t="s">
        <v>247</v>
      </c>
      <c r="E17" s="12">
        <v>9</v>
      </c>
      <c r="F17" s="12">
        <v>6</v>
      </c>
      <c r="G17" s="12">
        <v>4</v>
      </c>
      <c r="H17" s="12">
        <v>7</v>
      </c>
      <c r="I17" s="12">
        <v>26</v>
      </c>
    </row>
    <row r="18" spans="1:9" x14ac:dyDescent="0.35">
      <c r="A18" s="6" t="s">
        <v>355</v>
      </c>
      <c r="B18" s="12">
        <v>100</v>
      </c>
      <c r="D18" s="6" t="s">
        <v>223</v>
      </c>
      <c r="E18" s="12">
        <v>6</v>
      </c>
      <c r="F18" s="12">
        <v>4</v>
      </c>
      <c r="G18" s="12">
        <v>4</v>
      </c>
      <c r="H18" s="12">
        <v>8</v>
      </c>
      <c r="I18" s="12">
        <v>22</v>
      </c>
    </row>
    <row r="19" spans="1:9" x14ac:dyDescent="0.35">
      <c r="D19" s="6" t="s">
        <v>258</v>
      </c>
      <c r="E19" s="12">
        <v>8</v>
      </c>
      <c r="F19" s="12">
        <v>8</v>
      </c>
      <c r="G19" s="12">
        <v>8</v>
      </c>
      <c r="H19" s="12">
        <v>4</v>
      </c>
      <c r="I19" s="12">
        <v>28</v>
      </c>
    </row>
    <row r="20" spans="1:9" x14ac:dyDescent="0.35">
      <c r="D20" s="6" t="s">
        <v>355</v>
      </c>
      <c r="E20" s="12">
        <v>30</v>
      </c>
      <c r="F20" s="12">
        <v>23</v>
      </c>
      <c r="G20" s="12">
        <v>22</v>
      </c>
      <c r="H20" s="12">
        <v>25</v>
      </c>
      <c r="I20" s="12">
        <v>100</v>
      </c>
    </row>
  </sheetData>
  <mergeCells count="5">
    <mergeCell ref="D13:I13"/>
    <mergeCell ref="A2:B2"/>
    <mergeCell ref="D2:K2"/>
    <mergeCell ref="A10:B10"/>
    <mergeCell ref="A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5851-45BB-48DD-A43B-6A6464E6F27B}">
  <sheetPr codeName="Sheet3"/>
  <dimension ref="A1"/>
  <sheetViews>
    <sheetView showGridLines="0" topLeftCell="B1" zoomScale="77" zoomScaleNormal="100" workbookViewId="0">
      <selection activeCell="V13" sqref="V1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F7A69-1C12-47B3-9D0B-34A6B9B1711A}">
  <sheetPr codeName="Sheet5"/>
  <dimension ref="A1:Q13"/>
  <sheetViews>
    <sheetView tabSelected="1" workbookViewId="0">
      <selection activeCell="D4" sqref="D4"/>
    </sheetView>
  </sheetViews>
  <sheetFormatPr defaultRowHeight="14.5" x14ac:dyDescent="0.35"/>
  <cols>
    <col min="2" max="2" width="10.08984375" bestFit="1" customWidth="1"/>
    <col min="3" max="3" width="13.26953125" bestFit="1" customWidth="1"/>
    <col min="4" max="4" width="10.36328125" bestFit="1" customWidth="1"/>
  </cols>
  <sheetData>
    <row r="1" spans="1:17" x14ac:dyDescent="0.35">
      <c r="A1" s="8" t="s">
        <v>22</v>
      </c>
      <c r="B1" s="8"/>
      <c r="C1" s="8"/>
      <c r="D1" s="8"/>
      <c r="E1" s="8"/>
      <c r="F1" s="8"/>
      <c r="G1" s="8"/>
      <c r="H1" s="8"/>
      <c r="I1" s="8"/>
      <c r="J1" s="8"/>
      <c r="K1" s="8"/>
      <c r="L1" s="8"/>
      <c r="M1" s="8"/>
      <c r="N1" s="8"/>
      <c r="O1" s="8"/>
      <c r="P1" s="8"/>
      <c r="Q1" s="8"/>
    </row>
    <row r="2" spans="1:17" x14ac:dyDescent="0.35">
      <c r="D2" s="27"/>
      <c r="E2" s="28"/>
    </row>
    <row r="3" spans="1:17" x14ac:dyDescent="0.35">
      <c r="B3" t="s">
        <v>23</v>
      </c>
      <c r="C3" t="s">
        <v>24</v>
      </c>
      <c r="D3" s="24" t="s">
        <v>25</v>
      </c>
    </row>
    <row r="4" spans="1:17" x14ac:dyDescent="0.35">
      <c r="B4" t="s">
        <v>26</v>
      </c>
      <c r="C4" t="s">
        <v>36</v>
      </c>
      <c r="D4" s="25">
        <v>5</v>
      </c>
    </row>
    <row r="5" spans="1:17" x14ac:dyDescent="0.35">
      <c r="B5" t="s">
        <v>27</v>
      </c>
      <c r="C5" t="s">
        <v>37</v>
      </c>
      <c r="D5" s="24">
        <v>20</v>
      </c>
    </row>
    <row r="6" spans="1:17" x14ac:dyDescent="0.35">
      <c r="B6" t="s">
        <v>28</v>
      </c>
      <c r="C6" t="s">
        <v>39</v>
      </c>
      <c r="D6" s="26">
        <v>55</v>
      </c>
    </row>
    <row r="7" spans="1:17" x14ac:dyDescent="0.35">
      <c r="B7" t="s">
        <v>29</v>
      </c>
      <c r="C7" t="s">
        <v>40</v>
      </c>
      <c r="D7" s="25">
        <v>8</v>
      </c>
    </row>
    <row r="8" spans="1:17" x14ac:dyDescent="0.35">
      <c r="B8" t="s">
        <v>30</v>
      </c>
      <c r="C8" t="s">
        <v>41</v>
      </c>
      <c r="D8" s="26">
        <v>66</v>
      </c>
    </row>
    <row r="9" spans="1:17" x14ac:dyDescent="0.35">
      <c r="B9" t="s">
        <v>31</v>
      </c>
      <c r="C9" t="s">
        <v>42</v>
      </c>
      <c r="D9" s="26">
        <v>60</v>
      </c>
    </row>
    <row r="10" spans="1:17" x14ac:dyDescent="0.35">
      <c r="B10" t="s">
        <v>32</v>
      </c>
      <c r="C10" t="s">
        <v>43</v>
      </c>
      <c r="D10" s="25">
        <v>3</v>
      </c>
    </row>
    <row r="11" spans="1:17" x14ac:dyDescent="0.35">
      <c r="B11" t="s">
        <v>33</v>
      </c>
      <c r="C11" t="s">
        <v>44</v>
      </c>
      <c r="D11" s="24">
        <v>45</v>
      </c>
    </row>
    <row r="12" spans="1:17" x14ac:dyDescent="0.35">
      <c r="B12" t="s">
        <v>34</v>
      </c>
      <c r="C12" t="s">
        <v>45</v>
      </c>
      <c r="D12" s="26">
        <v>70</v>
      </c>
    </row>
    <row r="13" spans="1:17" x14ac:dyDescent="0.35">
      <c r="B13" t="s">
        <v>35</v>
      </c>
      <c r="C13" t="s">
        <v>38</v>
      </c>
      <c r="D13" s="24">
        <v>15</v>
      </c>
    </row>
  </sheetData>
  <mergeCells count="1">
    <mergeCell ref="A1:Q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A0E6B-FA7B-449F-8ECF-D69687911686}">
  <sheetPr codeName="Sheet6"/>
  <dimension ref="A2:N51"/>
  <sheetViews>
    <sheetView topLeftCell="B3" zoomScale="76" workbookViewId="0">
      <selection activeCell="E6" sqref="E6"/>
    </sheetView>
  </sheetViews>
  <sheetFormatPr defaultRowHeight="14.5" x14ac:dyDescent="0.35"/>
  <cols>
    <col min="1" max="1" width="9.36328125" customWidth="1"/>
    <col min="3" max="3" width="15.7265625" customWidth="1"/>
    <col min="4" max="4" width="10.26953125" bestFit="1" customWidth="1"/>
    <col min="5" max="5" width="16.6328125" customWidth="1"/>
    <col min="6" max="6" width="16.1796875" bestFit="1" customWidth="1"/>
    <col min="7" max="7" width="9.54296875" customWidth="1"/>
    <col min="8" max="8" width="13" customWidth="1"/>
    <col min="9" max="9" width="13.81640625" customWidth="1"/>
    <col min="10" max="10" width="16.54296875" customWidth="1"/>
    <col min="11" max="11" width="14" customWidth="1"/>
    <col min="12" max="12" width="15" customWidth="1"/>
    <col min="13" max="13" width="15.453125" customWidth="1"/>
  </cols>
  <sheetData>
    <row r="2" spans="1:14" x14ac:dyDescent="0.35">
      <c r="A2" s="19" t="s">
        <v>46</v>
      </c>
      <c r="B2" s="19" t="s">
        <v>47</v>
      </c>
      <c r="C2" s="19" t="s">
        <v>48</v>
      </c>
      <c r="D2" s="19" t="s">
        <v>49</v>
      </c>
      <c r="E2" s="19" t="s">
        <v>50</v>
      </c>
      <c r="F2" s="19" t="s">
        <v>51</v>
      </c>
      <c r="G2" s="19" t="s">
        <v>53</v>
      </c>
      <c r="H2" s="20" t="s">
        <v>52</v>
      </c>
      <c r="I2" s="19" t="s">
        <v>54</v>
      </c>
      <c r="J2" s="19" t="s">
        <v>55</v>
      </c>
      <c r="K2" s="19" t="s">
        <v>56</v>
      </c>
      <c r="L2" s="19" t="s">
        <v>57</v>
      </c>
      <c r="M2" s="22" t="s">
        <v>373</v>
      </c>
      <c r="N2" s="23" t="s">
        <v>374</v>
      </c>
    </row>
    <row r="3" spans="1:14" x14ac:dyDescent="0.35">
      <c r="A3" s="3">
        <v>1001</v>
      </c>
      <c r="B3" s="3" t="s">
        <v>58</v>
      </c>
      <c r="C3" s="3" t="s">
        <v>12</v>
      </c>
      <c r="D3" s="3" t="s">
        <v>59</v>
      </c>
      <c r="E3" s="3" t="s">
        <v>60</v>
      </c>
      <c r="F3" s="3" t="s">
        <v>61</v>
      </c>
      <c r="G3" s="3">
        <v>999</v>
      </c>
      <c r="H3" s="13">
        <v>10</v>
      </c>
      <c r="I3" s="3">
        <v>999</v>
      </c>
      <c r="J3" s="3">
        <v>998001</v>
      </c>
      <c r="K3" s="3">
        <v>28</v>
      </c>
      <c r="L3" s="3" t="s">
        <v>62</v>
      </c>
      <c r="M3" s="21" t="s">
        <v>80</v>
      </c>
      <c r="N3" s="21">
        <f>IFERROR(VLOOKUP(M3, F3:G51, 2, FALSE), "")</f>
        <v>1499</v>
      </c>
    </row>
    <row r="4" spans="1:14" x14ac:dyDescent="0.35">
      <c r="A4" s="3">
        <v>1003</v>
      </c>
      <c r="B4" s="3" t="s">
        <v>63</v>
      </c>
      <c r="C4" s="3" t="s">
        <v>13</v>
      </c>
      <c r="D4" s="3" t="s">
        <v>64</v>
      </c>
      <c r="E4" s="3" t="s">
        <v>65</v>
      </c>
      <c r="F4" s="3" t="s">
        <v>66</v>
      </c>
      <c r="G4" s="3">
        <v>1999</v>
      </c>
      <c r="H4" s="14">
        <v>3</v>
      </c>
      <c r="I4" s="3">
        <v>5997</v>
      </c>
      <c r="J4" s="3">
        <v>25</v>
      </c>
      <c r="K4" s="3">
        <v>40</v>
      </c>
      <c r="L4" s="3" t="s">
        <v>67</v>
      </c>
      <c r="M4" s="21" t="s">
        <v>74</v>
      </c>
      <c r="N4" s="21">
        <f t="shared" ref="N4:N15" si="0">IFERROR(VLOOKUP(M4, F4:G52, 2, FALSE), "")</f>
        <v>2999</v>
      </c>
    </row>
    <row r="5" spans="1:14" x14ac:dyDescent="0.35">
      <c r="A5" s="3">
        <v>1004</v>
      </c>
      <c r="B5" s="3" t="s">
        <v>68</v>
      </c>
      <c r="C5" s="3" t="s">
        <v>14</v>
      </c>
      <c r="D5" s="3" t="s">
        <v>69</v>
      </c>
      <c r="E5" s="3" t="s">
        <v>60</v>
      </c>
      <c r="F5" s="3" t="s">
        <v>70</v>
      </c>
      <c r="G5" s="3">
        <v>2499</v>
      </c>
      <c r="H5" s="13">
        <v>6</v>
      </c>
      <c r="I5" s="3">
        <v>9996</v>
      </c>
      <c r="J5" s="3">
        <v>30</v>
      </c>
      <c r="K5" s="3">
        <v>24</v>
      </c>
      <c r="L5" s="3" t="s">
        <v>71</v>
      </c>
      <c r="M5" s="21" t="s">
        <v>80</v>
      </c>
      <c r="N5" s="21">
        <f t="shared" si="0"/>
        <v>1499</v>
      </c>
    </row>
    <row r="6" spans="1:14" x14ac:dyDescent="0.35">
      <c r="A6" s="3">
        <v>1005</v>
      </c>
      <c r="B6" s="3" t="s">
        <v>72</v>
      </c>
      <c r="C6" s="3" t="s">
        <v>15</v>
      </c>
      <c r="D6" s="3" t="s">
        <v>59</v>
      </c>
      <c r="E6" s="3" t="s">
        <v>73</v>
      </c>
      <c r="F6" s="3" t="s">
        <v>74</v>
      </c>
      <c r="G6" s="3">
        <v>2999</v>
      </c>
      <c r="H6" s="14">
        <v>8</v>
      </c>
      <c r="I6" s="3">
        <v>14995</v>
      </c>
      <c r="J6" s="3">
        <v>18</v>
      </c>
      <c r="K6" s="3">
        <v>31</v>
      </c>
      <c r="L6" s="3" t="s">
        <v>62</v>
      </c>
      <c r="M6" s="21" t="s">
        <v>82</v>
      </c>
      <c r="N6" s="21">
        <f t="shared" si="0"/>
        <v>1999</v>
      </c>
    </row>
    <row r="7" spans="1:14" x14ac:dyDescent="0.35">
      <c r="A7" s="3">
        <v>1006</v>
      </c>
      <c r="B7" s="3" t="s">
        <v>75</v>
      </c>
      <c r="C7" s="3" t="s">
        <v>16</v>
      </c>
      <c r="D7" s="3" t="s">
        <v>76</v>
      </c>
      <c r="E7" s="3" t="s">
        <v>65</v>
      </c>
      <c r="F7" s="3" t="s">
        <v>77</v>
      </c>
      <c r="G7" s="3">
        <v>999</v>
      </c>
      <c r="H7" s="13">
        <v>3</v>
      </c>
      <c r="I7" s="3">
        <v>4995</v>
      </c>
      <c r="J7" s="3">
        <v>15</v>
      </c>
      <c r="K7" s="3">
        <v>29</v>
      </c>
      <c r="L7" s="3" t="s">
        <v>78</v>
      </c>
      <c r="M7" s="21" t="s">
        <v>207</v>
      </c>
      <c r="N7" s="21">
        <f t="shared" si="0"/>
        <v>2999</v>
      </c>
    </row>
    <row r="8" spans="1:14" x14ac:dyDescent="0.35">
      <c r="A8" s="3">
        <v>1007</v>
      </c>
      <c r="B8" s="3" t="s">
        <v>79</v>
      </c>
      <c r="C8" s="3" t="s">
        <v>17</v>
      </c>
      <c r="D8" s="3" t="s">
        <v>64</v>
      </c>
      <c r="E8" s="3" t="s">
        <v>60</v>
      </c>
      <c r="F8" s="3" t="s">
        <v>80</v>
      </c>
      <c r="G8" s="3">
        <v>1499</v>
      </c>
      <c r="H8" s="14">
        <v>9</v>
      </c>
      <c r="I8" s="3">
        <v>2998</v>
      </c>
      <c r="J8" s="3">
        <v>20</v>
      </c>
      <c r="K8" s="3">
        <v>45</v>
      </c>
      <c r="L8" s="3" t="s">
        <v>67</v>
      </c>
      <c r="M8" s="21" t="s">
        <v>82</v>
      </c>
      <c r="N8" s="21">
        <f t="shared" si="0"/>
        <v>1999</v>
      </c>
    </row>
    <row r="9" spans="1:14" x14ac:dyDescent="0.35">
      <c r="A9" s="3">
        <v>1008</v>
      </c>
      <c r="B9" s="3" t="s">
        <v>81</v>
      </c>
      <c r="C9" s="3" t="s">
        <v>18</v>
      </c>
      <c r="D9" s="3" t="s">
        <v>69</v>
      </c>
      <c r="E9" s="3" t="s">
        <v>73</v>
      </c>
      <c r="F9" s="3" t="s">
        <v>82</v>
      </c>
      <c r="G9" s="3">
        <v>1999</v>
      </c>
      <c r="H9" s="13">
        <v>5</v>
      </c>
      <c r="I9" s="3">
        <v>5997</v>
      </c>
      <c r="J9" s="3">
        <v>25</v>
      </c>
      <c r="K9" s="3">
        <v>32</v>
      </c>
      <c r="L9" s="3" t="s">
        <v>71</v>
      </c>
      <c r="M9" s="21" t="s">
        <v>375</v>
      </c>
      <c r="N9" s="21">
        <f t="shared" si="0"/>
        <v>1999</v>
      </c>
    </row>
    <row r="10" spans="1:14" x14ac:dyDescent="0.35">
      <c r="A10" s="3">
        <v>1009</v>
      </c>
      <c r="B10" s="3" t="s">
        <v>83</v>
      </c>
      <c r="C10" s="3" t="s">
        <v>19</v>
      </c>
      <c r="D10" s="3" t="s">
        <v>59</v>
      </c>
      <c r="E10" s="3" t="s">
        <v>65</v>
      </c>
      <c r="F10" s="3" t="s">
        <v>84</v>
      </c>
      <c r="G10" s="3">
        <v>2499</v>
      </c>
      <c r="H10" s="14">
        <v>2</v>
      </c>
      <c r="I10" s="3">
        <v>19992</v>
      </c>
      <c r="J10" s="3">
        <v>30</v>
      </c>
      <c r="K10" s="3">
        <v>27</v>
      </c>
      <c r="L10" s="3" t="s">
        <v>62</v>
      </c>
      <c r="M10" s="21"/>
      <c r="N10" s="21" t="str">
        <f t="shared" si="0"/>
        <v/>
      </c>
    </row>
    <row r="11" spans="1:14" x14ac:dyDescent="0.35">
      <c r="A11" s="3">
        <v>10010</v>
      </c>
      <c r="B11" s="3" t="s">
        <v>85</v>
      </c>
      <c r="C11" s="3" t="s">
        <v>86</v>
      </c>
      <c r="D11" s="3" t="s">
        <v>76</v>
      </c>
      <c r="E11" s="3" t="s">
        <v>60</v>
      </c>
      <c r="F11" s="3" t="s">
        <v>87</v>
      </c>
      <c r="G11" s="3">
        <v>2999</v>
      </c>
      <c r="H11" s="13">
        <v>7</v>
      </c>
      <c r="I11" s="3">
        <v>14995</v>
      </c>
      <c r="J11" s="3">
        <v>18</v>
      </c>
      <c r="K11" s="3">
        <v>39</v>
      </c>
      <c r="L11" s="3" t="s">
        <v>78</v>
      </c>
      <c r="M11" s="21"/>
      <c r="N11" s="21" t="str">
        <f t="shared" si="0"/>
        <v/>
      </c>
    </row>
    <row r="12" spans="1:14" x14ac:dyDescent="0.35">
      <c r="A12" s="3">
        <v>10011</v>
      </c>
      <c r="B12" s="3" t="s">
        <v>88</v>
      </c>
      <c r="C12" s="3" t="s">
        <v>89</v>
      </c>
      <c r="D12" s="3" t="s">
        <v>64</v>
      </c>
      <c r="E12" s="3" t="s">
        <v>73</v>
      </c>
      <c r="F12" s="3" t="s">
        <v>90</v>
      </c>
      <c r="G12" s="3">
        <v>999</v>
      </c>
      <c r="H12" s="14">
        <v>10</v>
      </c>
      <c r="I12" s="3">
        <v>999</v>
      </c>
      <c r="J12" s="3">
        <v>15</v>
      </c>
      <c r="K12" s="3">
        <v>28</v>
      </c>
      <c r="L12" s="3" t="s">
        <v>67</v>
      </c>
      <c r="M12" s="21"/>
      <c r="N12" s="21" t="str">
        <f t="shared" si="0"/>
        <v/>
      </c>
    </row>
    <row r="13" spans="1:14" x14ac:dyDescent="0.35">
      <c r="A13" s="3">
        <v>10012</v>
      </c>
      <c r="B13" s="3" t="s">
        <v>91</v>
      </c>
      <c r="C13" s="3" t="s">
        <v>92</v>
      </c>
      <c r="D13" s="3" t="s">
        <v>69</v>
      </c>
      <c r="E13" s="3" t="s">
        <v>65</v>
      </c>
      <c r="F13" s="3" t="s">
        <v>93</v>
      </c>
      <c r="G13" s="3">
        <v>1499</v>
      </c>
      <c r="H13" s="13">
        <v>3</v>
      </c>
      <c r="I13" s="3">
        <v>11992</v>
      </c>
      <c r="J13" s="3">
        <v>20</v>
      </c>
      <c r="K13" s="3">
        <v>35</v>
      </c>
      <c r="L13" s="3" t="s">
        <v>71</v>
      </c>
      <c r="M13" s="21"/>
      <c r="N13" s="21" t="str">
        <f t="shared" si="0"/>
        <v/>
      </c>
    </row>
    <row r="14" spans="1:14" x14ac:dyDescent="0.35">
      <c r="A14" s="3">
        <v>10013</v>
      </c>
      <c r="B14" s="3" t="s">
        <v>94</v>
      </c>
      <c r="C14" s="3" t="s">
        <v>95</v>
      </c>
      <c r="D14" s="3" t="s">
        <v>59</v>
      </c>
      <c r="E14" s="3" t="s">
        <v>60</v>
      </c>
      <c r="F14" s="3" t="s">
        <v>96</v>
      </c>
      <c r="G14" s="3">
        <v>1999</v>
      </c>
      <c r="H14" s="14">
        <v>3</v>
      </c>
      <c r="I14" s="3">
        <v>5997</v>
      </c>
      <c r="J14" s="3">
        <v>25</v>
      </c>
      <c r="K14" s="3">
        <v>40</v>
      </c>
      <c r="L14" s="3" t="s">
        <v>62</v>
      </c>
      <c r="M14" s="21"/>
      <c r="N14" s="21" t="str">
        <f t="shared" si="0"/>
        <v/>
      </c>
    </row>
    <row r="15" spans="1:14" x14ac:dyDescent="0.35">
      <c r="A15" s="3">
        <v>10014</v>
      </c>
      <c r="B15" s="3" t="s">
        <v>97</v>
      </c>
      <c r="C15" s="3" t="s">
        <v>98</v>
      </c>
      <c r="D15" s="3" t="s">
        <v>76</v>
      </c>
      <c r="E15" s="3" t="s">
        <v>73</v>
      </c>
      <c r="F15" s="3" t="s">
        <v>99</v>
      </c>
      <c r="G15" s="3">
        <v>2499</v>
      </c>
      <c r="H15" s="13">
        <v>6</v>
      </c>
      <c r="I15" s="3">
        <v>9996</v>
      </c>
      <c r="J15" s="3">
        <v>30</v>
      </c>
      <c r="K15" s="3">
        <v>24</v>
      </c>
      <c r="L15" s="3" t="s">
        <v>78</v>
      </c>
      <c r="M15" s="21"/>
      <c r="N15" s="21" t="str">
        <f t="shared" si="0"/>
        <v/>
      </c>
    </row>
    <row r="16" spans="1:14" x14ac:dyDescent="0.35">
      <c r="A16" s="3">
        <v>10015</v>
      </c>
      <c r="B16" s="3" t="s">
        <v>100</v>
      </c>
      <c r="C16" s="3" t="s">
        <v>101</v>
      </c>
      <c r="D16" s="3" t="s">
        <v>64</v>
      </c>
      <c r="E16" s="3" t="s">
        <v>65</v>
      </c>
      <c r="F16" s="3" t="s">
        <v>102</v>
      </c>
      <c r="G16" s="3">
        <v>2999</v>
      </c>
      <c r="H16" s="14">
        <v>6</v>
      </c>
      <c r="I16" s="3">
        <v>14995</v>
      </c>
      <c r="J16" s="3">
        <v>18</v>
      </c>
      <c r="K16" s="3">
        <v>31</v>
      </c>
      <c r="L16" s="3" t="s">
        <v>67</v>
      </c>
      <c r="M16" s="21"/>
      <c r="N16" s="21"/>
    </row>
    <row r="17" spans="1:14" x14ac:dyDescent="0.35">
      <c r="A17" s="3">
        <v>10016</v>
      </c>
      <c r="B17" s="3" t="s">
        <v>103</v>
      </c>
      <c r="C17" s="3" t="s">
        <v>104</v>
      </c>
      <c r="D17" s="3" t="s">
        <v>69</v>
      </c>
      <c r="E17" s="3" t="s">
        <v>60</v>
      </c>
      <c r="F17" s="3" t="s">
        <v>105</v>
      </c>
      <c r="G17" s="3">
        <v>999</v>
      </c>
      <c r="H17" s="13">
        <v>10</v>
      </c>
      <c r="I17" s="3">
        <v>5994</v>
      </c>
      <c r="J17" s="3">
        <v>15</v>
      </c>
      <c r="K17" s="3">
        <v>29</v>
      </c>
      <c r="L17" s="3" t="s">
        <v>71</v>
      </c>
      <c r="M17" s="21"/>
      <c r="N17" s="21"/>
    </row>
    <row r="18" spans="1:14" x14ac:dyDescent="0.35">
      <c r="A18" s="3">
        <v>10017</v>
      </c>
      <c r="B18" s="3" t="s">
        <v>106</v>
      </c>
      <c r="C18" s="3" t="s">
        <v>107</v>
      </c>
      <c r="D18" s="3" t="s">
        <v>59</v>
      </c>
      <c r="E18" s="3" t="s">
        <v>73</v>
      </c>
      <c r="F18" s="3" t="s">
        <v>108</v>
      </c>
      <c r="G18" s="3">
        <v>1499</v>
      </c>
      <c r="H18" s="14">
        <v>4</v>
      </c>
      <c r="I18" s="3">
        <v>2998</v>
      </c>
      <c r="J18" s="3">
        <v>20</v>
      </c>
      <c r="K18" s="3">
        <v>45</v>
      </c>
      <c r="L18" s="3" t="s">
        <v>62</v>
      </c>
      <c r="M18" s="21"/>
      <c r="N18" s="21"/>
    </row>
    <row r="19" spans="1:14" x14ac:dyDescent="0.35">
      <c r="A19" s="3">
        <v>10018</v>
      </c>
      <c r="B19" s="3" t="s">
        <v>109</v>
      </c>
      <c r="C19" s="3" t="s">
        <v>110</v>
      </c>
      <c r="D19" s="3" t="s">
        <v>76</v>
      </c>
      <c r="E19" s="3" t="s">
        <v>65</v>
      </c>
      <c r="F19" s="3" t="s">
        <v>111</v>
      </c>
      <c r="G19" s="3">
        <v>1999</v>
      </c>
      <c r="H19" s="13">
        <v>5</v>
      </c>
      <c r="I19" s="3">
        <v>13993</v>
      </c>
      <c r="J19" s="3">
        <v>25</v>
      </c>
      <c r="K19" s="3">
        <v>32</v>
      </c>
      <c r="L19" s="3" t="s">
        <v>78</v>
      </c>
      <c r="M19" s="21"/>
      <c r="N19" s="21"/>
    </row>
    <row r="20" spans="1:14" x14ac:dyDescent="0.35">
      <c r="A20" s="3">
        <v>10019</v>
      </c>
      <c r="B20" s="3" t="s">
        <v>112</v>
      </c>
      <c r="C20" s="3" t="s">
        <v>113</v>
      </c>
      <c r="D20" s="3" t="s">
        <v>64</v>
      </c>
      <c r="E20" s="3" t="s">
        <v>60</v>
      </c>
      <c r="F20" s="3" t="s">
        <v>114</v>
      </c>
      <c r="G20" s="3">
        <v>2499</v>
      </c>
      <c r="H20" s="14">
        <v>7</v>
      </c>
      <c r="I20" s="3">
        <v>9996</v>
      </c>
      <c r="J20" s="3">
        <v>30</v>
      </c>
      <c r="K20" s="3">
        <v>27</v>
      </c>
      <c r="L20" s="3" t="s">
        <v>67</v>
      </c>
      <c r="M20" s="21"/>
      <c r="N20" s="21"/>
    </row>
    <row r="21" spans="1:14" x14ac:dyDescent="0.35">
      <c r="A21" s="3">
        <v>10020</v>
      </c>
      <c r="B21" s="3" t="s">
        <v>115</v>
      </c>
      <c r="C21" s="3" t="s">
        <v>116</v>
      </c>
      <c r="D21" s="3" t="s">
        <v>69</v>
      </c>
      <c r="E21" s="3" t="s">
        <v>73</v>
      </c>
      <c r="F21" s="3" t="s">
        <v>117</v>
      </c>
      <c r="G21" s="3">
        <v>2999</v>
      </c>
      <c r="H21" s="13">
        <v>6</v>
      </c>
      <c r="I21" s="3">
        <v>14995</v>
      </c>
      <c r="J21" s="3">
        <v>18</v>
      </c>
      <c r="K21" s="3">
        <v>39</v>
      </c>
      <c r="L21" s="3" t="s">
        <v>71</v>
      </c>
      <c r="M21" s="21"/>
      <c r="N21" s="21"/>
    </row>
    <row r="22" spans="1:14" x14ac:dyDescent="0.35">
      <c r="A22" s="3">
        <v>10021</v>
      </c>
      <c r="B22" s="3" t="s">
        <v>118</v>
      </c>
      <c r="C22" s="3" t="s">
        <v>119</v>
      </c>
      <c r="D22" s="3" t="s">
        <v>59</v>
      </c>
      <c r="E22" s="3" t="s">
        <v>65</v>
      </c>
      <c r="F22" s="3" t="s">
        <v>120</v>
      </c>
      <c r="G22" s="3">
        <v>999</v>
      </c>
      <c r="H22" s="14">
        <v>7</v>
      </c>
      <c r="I22" s="3">
        <v>999</v>
      </c>
      <c r="J22" s="3">
        <v>15</v>
      </c>
      <c r="K22" s="3">
        <v>28</v>
      </c>
      <c r="L22" s="3" t="s">
        <v>62</v>
      </c>
      <c r="M22" s="21"/>
      <c r="N22" s="21"/>
    </row>
    <row r="23" spans="1:14" x14ac:dyDescent="0.35">
      <c r="A23" s="3">
        <v>10022</v>
      </c>
      <c r="B23" s="3" t="s">
        <v>121</v>
      </c>
      <c r="C23" s="3" t="s">
        <v>122</v>
      </c>
      <c r="D23" s="3" t="s">
        <v>76</v>
      </c>
      <c r="E23" s="3" t="s">
        <v>60</v>
      </c>
      <c r="F23" s="3" t="s">
        <v>123</v>
      </c>
      <c r="G23" s="3">
        <v>1499</v>
      </c>
      <c r="H23" s="13">
        <v>3</v>
      </c>
      <c r="I23" s="3">
        <v>17988</v>
      </c>
      <c r="J23" s="3">
        <v>20</v>
      </c>
      <c r="K23" s="3">
        <v>35</v>
      </c>
      <c r="L23" s="3" t="s">
        <v>78</v>
      </c>
      <c r="M23" s="21"/>
      <c r="N23" s="21"/>
    </row>
    <row r="24" spans="1:14" x14ac:dyDescent="0.35">
      <c r="A24" s="3">
        <v>10023</v>
      </c>
      <c r="B24" s="3" t="s">
        <v>124</v>
      </c>
      <c r="C24" s="3" t="s">
        <v>125</v>
      </c>
      <c r="D24" s="3" t="s">
        <v>64</v>
      </c>
      <c r="E24" s="3" t="s">
        <v>73</v>
      </c>
      <c r="F24" s="3" t="s">
        <v>126</v>
      </c>
      <c r="G24" s="3">
        <v>1999</v>
      </c>
      <c r="H24" s="14">
        <v>4</v>
      </c>
      <c r="I24" s="3">
        <v>5997</v>
      </c>
      <c r="J24" s="3">
        <v>25</v>
      </c>
      <c r="K24" s="3">
        <v>40</v>
      </c>
      <c r="L24" s="3" t="s">
        <v>67</v>
      </c>
      <c r="M24" s="21"/>
      <c r="N24" s="21"/>
    </row>
    <row r="25" spans="1:14" x14ac:dyDescent="0.35">
      <c r="A25" s="3">
        <v>10024</v>
      </c>
      <c r="B25" s="3" t="s">
        <v>127</v>
      </c>
      <c r="C25" s="3" t="s">
        <v>128</v>
      </c>
      <c r="D25" s="3" t="s">
        <v>69</v>
      </c>
      <c r="E25" s="3" t="s">
        <v>65</v>
      </c>
      <c r="F25" s="3" t="s">
        <v>129</v>
      </c>
      <c r="G25" s="3">
        <v>2499</v>
      </c>
      <c r="H25" s="13">
        <v>10</v>
      </c>
      <c r="I25" s="3">
        <v>9996</v>
      </c>
      <c r="J25" s="3">
        <v>30</v>
      </c>
      <c r="K25" s="3">
        <v>24</v>
      </c>
      <c r="L25" s="3" t="s">
        <v>71</v>
      </c>
      <c r="M25" s="21"/>
      <c r="N25" s="21"/>
    </row>
    <row r="26" spans="1:14" x14ac:dyDescent="0.35">
      <c r="A26" s="3">
        <v>10025</v>
      </c>
      <c r="B26" s="3" t="s">
        <v>130</v>
      </c>
      <c r="C26" s="3" t="s">
        <v>131</v>
      </c>
      <c r="D26" s="3" t="s">
        <v>59</v>
      </c>
      <c r="E26" s="3" t="s">
        <v>60</v>
      </c>
      <c r="F26" s="3" t="s">
        <v>132</v>
      </c>
      <c r="G26" s="3">
        <v>2999</v>
      </c>
      <c r="H26" s="14">
        <v>8</v>
      </c>
      <c r="I26" s="3">
        <v>14995</v>
      </c>
      <c r="J26" s="3">
        <v>18</v>
      </c>
      <c r="K26" s="3">
        <v>31</v>
      </c>
      <c r="L26" s="3" t="s">
        <v>62</v>
      </c>
      <c r="M26" s="21"/>
      <c r="N26" s="21"/>
    </row>
    <row r="27" spans="1:14" x14ac:dyDescent="0.35">
      <c r="A27" s="3">
        <v>10026</v>
      </c>
      <c r="B27" s="3" t="s">
        <v>133</v>
      </c>
      <c r="C27" s="3" t="s">
        <v>134</v>
      </c>
      <c r="D27" s="3" t="s">
        <v>76</v>
      </c>
      <c r="E27" s="3" t="s">
        <v>73</v>
      </c>
      <c r="F27" s="3" t="s">
        <v>135</v>
      </c>
      <c r="G27" s="3">
        <v>999</v>
      </c>
      <c r="H27" s="13">
        <v>4</v>
      </c>
      <c r="I27" s="3">
        <v>2997</v>
      </c>
      <c r="J27" s="3">
        <v>15</v>
      </c>
      <c r="K27" s="3">
        <v>29</v>
      </c>
      <c r="L27" s="3" t="s">
        <v>78</v>
      </c>
      <c r="M27" s="21"/>
      <c r="N27" s="21"/>
    </row>
    <row r="28" spans="1:14" x14ac:dyDescent="0.35">
      <c r="A28" s="3">
        <v>10027</v>
      </c>
      <c r="B28" s="3" t="s">
        <v>136</v>
      </c>
      <c r="C28" s="3" t="s">
        <v>137</v>
      </c>
      <c r="D28" s="3" t="s">
        <v>64</v>
      </c>
      <c r="E28" s="3" t="s">
        <v>65</v>
      </c>
      <c r="F28" s="3" t="s">
        <v>138</v>
      </c>
      <c r="G28" s="3">
        <v>1499</v>
      </c>
      <c r="H28" s="14">
        <v>3</v>
      </c>
      <c r="I28" s="3">
        <v>2998</v>
      </c>
      <c r="J28" s="3">
        <v>20</v>
      </c>
      <c r="K28" s="3">
        <v>45</v>
      </c>
      <c r="L28" s="3" t="s">
        <v>67</v>
      </c>
      <c r="M28" s="21"/>
      <c r="N28" s="21"/>
    </row>
    <row r="29" spans="1:14" x14ac:dyDescent="0.35">
      <c r="A29" s="3">
        <v>10028</v>
      </c>
      <c r="B29" s="3" t="s">
        <v>139</v>
      </c>
      <c r="C29" s="3" t="s">
        <v>140</v>
      </c>
      <c r="D29" s="3" t="s">
        <v>69</v>
      </c>
      <c r="E29" s="3" t="s">
        <v>60</v>
      </c>
      <c r="F29" s="3" t="s">
        <v>141</v>
      </c>
      <c r="G29" s="3">
        <v>1999</v>
      </c>
      <c r="H29" s="13">
        <v>6</v>
      </c>
      <c r="I29" s="3">
        <v>5997</v>
      </c>
      <c r="J29" s="3">
        <v>25</v>
      </c>
      <c r="K29" s="3">
        <v>32</v>
      </c>
      <c r="L29" s="3" t="s">
        <v>71</v>
      </c>
      <c r="M29" s="21"/>
      <c r="N29" s="21"/>
    </row>
    <row r="30" spans="1:14" x14ac:dyDescent="0.35">
      <c r="A30" s="3">
        <v>10029</v>
      </c>
      <c r="B30" s="3" t="s">
        <v>142</v>
      </c>
      <c r="C30" s="3" t="s">
        <v>143</v>
      </c>
      <c r="D30" s="3" t="s">
        <v>59</v>
      </c>
      <c r="E30" s="3" t="s">
        <v>73</v>
      </c>
      <c r="F30" s="3" t="s">
        <v>144</v>
      </c>
      <c r="G30" s="3">
        <v>2499</v>
      </c>
      <c r="H30" s="14">
        <v>7</v>
      </c>
      <c r="I30" s="3">
        <v>9996</v>
      </c>
      <c r="J30" s="3">
        <v>30</v>
      </c>
      <c r="K30" s="3">
        <v>27</v>
      </c>
      <c r="L30" s="3" t="s">
        <v>62</v>
      </c>
      <c r="M30" s="21"/>
      <c r="N30" s="21"/>
    </row>
    <row r="31" spans="1:14" x14ac:dyDescent="0.35">
      <c r="A31" s="3">
        <v>10030</v>
      </c>
      <c r="B31" s="3" t="s">
        <v>145</v>
      </c>
      <c r="C31" s="3" t="s">
        <v>146</v>
      </c>
      <c r="D31" s="3" t="s">
        <v>76</v>
      </c>
      <c r="E31" s="3" t="s">
        <v>65</v>
      </c>
      <c r="F31" s="3" t="s">
        <v>147</v>
      </c>
      <c r="G31" s="3">
        <v>2999</v>
      </c>
      <c r="H31" s="13">
        <v>6</v>
      </c>
      <c r="I31" s="3">
        <v>26991</v>
      </c>
      <c r="J31" s="3">
        <v>18</v>
      </c>
      <c r="K31" s="3">
        <v>39</v>
      </c>
      <c r="L31" s="3" t="s">
        <v>78</v>
      </c>
      <c r="M31" s="21"/>
      <c r="N31" s="21"/>
    </row>
    <row r="32" spans="1:14" x14ac:dyDescent="0.35">
      <c r="A32" s="3">
        <v>10031</v>
      </c>
      <c r="B32" s="3" t="s">
        <v>148</v>
      </c>
      <c r="C32" s="3" t="s">
        <v>149</v>
      </c>
      <c r="D32" s="3" t="s">
        <v>64</v>
      </c>
      <c r="E32" s="3" t="s">
        <v>60</v>
      </c>
      <c r="F32" s="3" t="s">
        <v>150</v>
      </c>
      <c r="G32" s="3">
        <v>999</v>
      </c>
      <c r="H32" s="14">
        <v>3</v>
      </c>
      <c r="I32" s="3">
        <v>999</v>
      </c>
      <c r="J32" s="3">
        <v>15</v>
      </c>
      <c r="K32" s="3">
        <v>28</v>
      </c>
      <c r="L32" s="3" t="s">
        <v>67</v>
      </c>
      <c r="M32" s="21"/>
      <c r="N32" s="21"/>
    </row>
    <row r="33" spans="1:14" x14ac:dyDescent="0.35">
      <c r="A33" s="3">
        <v>10032</v>
      </c>
      <c r="B33" s="3" t="s">
        <v>151</v>
      </c>
      <c r="C33" s="3" t="s">
        <v>152</v>
      </c>
      <c r="D33" s="3" t="s">
        <v>69</v>
      </c>
      <c r="E33" s="3" t="s">
        <v>73</v>
      </c>
      <c r="F33" s="3" t="s">
        <v>153</v>
      </c>
      <c r="G33" s="3">
        <v>1499</v>
      </c>
      <c r="H33" s="13">
        <v>3</v>
      </c>
      <c r="I33" s="3">
        <v>2998</v>
      </c>
      <c r="J33" s="3">
        <v>20</v>
      </c>
      <c r="K33" s="3">
        <v>35</v>
      </c>
      <c r="L33" s="3" t="s">
        <v>71</v>
      </c>
      <c r="M33" s="21"/>
      <c r="N33" s="21"/>
    </row>
    <row r="34" spans="1:14" x14ac:dyDescent="0.35">
      <c r="A34" s="3">
        <v>10033</v>
      </c>
      <c r="B34" s="3" t="s">
        <v>154</v>
      </c>
      <c r="C34" s="3" t="s">
        <v>155</v>
      </c>
      <c r="D34" s="3" t="s">
        <v>59</v>
      </c>
      <c r="E34" s="3" t="s">
        <v>65</v>
      </c>
      <c r="F34" s="3" t="s">
        <v>156</v>
      </c>
      <c r="G34" s="3">
        <v>1999</v>
      </c>
      <c r="H34" s="14">
        <v>7</v>
      </c>
      <c r="I34" s="3">
        <v>5997</v>
      </c>
      <c r="J34" s="3">
        <v>25</v>
      </c>
      <c r="K34" s="3">
        <v>40</v>
      </c>
      <c r="L34" s="3" t="s">
        <v>62</v>
      </c>
      <c r="M34" s="21"/>
      <c r="N34" s="21"/>
    </row>
    <row r="35" spans="1:14" x14ac:dyDescent="0.35">
      <c r="A35" s="3">
        <v>10034</v>
      </c>
      <c r="B35" s="3" t="s">
        <v>157</v>
      </c>
      <c r="C35" s="3" t="s">
        <v>158</v>
      </c>
      <c r="D35" s="3" t="s">
        <v>76</v>
      </c>
      <c r="E35" s="3" t="s">
        <v>60</v>
      </c>
      <c r="F35" s="3" t="s">
        <v>159</v>
      </c>
      <c r="G35" s="3">
        <v>2499</v>
      </c>
      <c r="H35" s="13">
        <v>10</v>
      </c>
      <c r="I35" s="3">
        <v>9996</v>
      </c>
      <c r="J35" s="3">
        <v>30</v>
      </c>
      <c r="K35" s="3">
        <v>24</v>
      </c>
      <c r="L35" s="3" t="s">
        <v>78</v>
      </c>
      <c r="M35" s="21"/>
      <c r="N35" s="21"/>
    </row>
    <row r="36" spans="1:14" x14ac:dyDescent="0.35">
      <c r="A36" s="3">
        <v>10035</v>
      </c>
      <c r="B36" s="3" t="s">
        <v>160</v>
      </c>
      <c r="C36" s="3" t="s">
        <v>161</v>
      </c>
      <c r="D36" s="3" t="s">
        <v>64</v>
      </c>
      <c r="E36" s="3" t="s">
        <v>73</v>
      </c>
      <c r="F36" s="3" t="s">
        <v>162</v>
      </c>
      <c r="G36" s="3">
        <v>2999</v>
      </c>
      <c r="H36" s="14">
        <v>2</v>
      </c>
      <c r="I36" s="3">
        <v>14995</v>
      </c>
      <c r="J36" s="3">
        <v>18</v>
      </c>
      <c r="K36" s="3">
        <v>31</v>
      </c>
      <c r="L36" s="3" t="s">
        <v>67</v>
      </c>
      <c r="M36" s="21"/>
      <c r="N36" s="21"/>
    </row>
    <row r="37" spans="1:14" x14ac:dyDescent="0.35">
      <c r="A37" s="3">
        <v>10036</v>
      </c>
      <c r="B37" s="3" t="s">
        <v>163</v>
      </c>
      <c r="C37" s="3" t="s">
        <v>164</v>
      </c>
      <c r="D37" s="3" t="s">
        <v>69</v>
      </c>
      <c r="E37" s="3" t="s">
        <v>65</v>
      </c>
      <c r="F37" s="3" t="s">
        <v>165</v>
      </c>
      <c r="G37" s="3">
        <v>999</v>
      </c>
      <c r="H37" s="13">
        <v>6</v>
      </c>
      <c r="I37" s="3">
        <v>999</v>
      </c>
      <c r="J37" s="3">
        <v>15</v>
      </c>
      <c r="K37" s="3">
        <v>29</v>
      </c>
      <c r="L37" s="3" t="s">
        <v>71</v>
      </c>
      <c r="M37" s="21"/>
      <c r="N37" s="21"/>
    </row>
    <row r="38" spans="1:14" x14ac:dyDescent="0.35">
      <c r="A38" s="3">
        <v>10037</v>
      </c>
      <c r="B38" s="3" t="s">
        <v>166</v>
      </c>
      <c r="C38" s="3" t="s">
        <v>167</v>
      </c>
      <c r="D38" s="3" t="s">
        <v>59</v>
      </c>
      <c r="E38" s="3" t="s">
        <v>60</v>
      </c>
      <c r="F38" s="3" t="s">
        <v>168</v>
      </c>
      <c r="G38" s="3">
        <v>1499</v>
      </c>
      <c r="H38" s="14">
        <v>7</v>
      </c>
      <c r="I38" s="3">
        <v>2998</v>
      </c>
      <c r="J38" s="3">
        <v>20</v>
      </c>
      <c r="K38" s="3">
        <v>45</v>
      </c>
      <c r="L38" s="3" t="s">
        <v>62</v>
      </c>
      <c r="M38" s="21"/>
      <c r="N38" s="21"/>
    </row>
    <row r="39" spans="1:14" x14ac:dyDescent="0.35">
      <c r="A39" s="3">
        <v>10038</v>
      </c>
      <c r="B39" s="3" t="s">
        <v>169</v>
      </c>
      <c r="C39" s="3" t="s">
        <v>170</v>
      </c>
      <c r="D39" s="3" t="s">
        <v>76</v>
      </c>
      <c r="E39" s="3" t="s">
        <v>73</v>
      </c>
      <c r="F39" s="3" t="s">
        <v>171</v>
      </c>
      <c r="G39" s="3">
        <v>1999</v>
      </c>
      <c r="H39" s="13">
        <v>10</v>
      </c>
      <c r="I39" s="3">
        <v>3998</v>
      </c>
      <c r="J39" s="3">
        <v>25</v>
      </c>
      <c r="K39" s="3">
        <v>32</v>
      </c>
      <c r="L39" s="3" t="s">
        <v>78</v>
      </c>
      <c r="M39" s="21"/>
      <c r="N39" s="21"/>
    </row>
    <row r="40" spans="1:14" x14ac:dyDescent="0.35">
      <c r="A40" s="3">
        <v>10039</v>
      </c>
      <c r="B40" s="3" t="s">
        <v>172</v>
      </c>
      <c r="C40" s="3" t="s">
        <v>173</v>
      </c>
      <c r="D40" s="3" t="s">
        <v>64</v>
      </c>
      <c r="E40" s="3" t="s">
        <v>65</v>
      </c>
      <c r="F40" s="3" t="s">
        <v>174</v>
      </c>
      <c r="G40" s="3">
        <v>2499</v>
      </c>
      <c r="H40" s="14">
        <v>7</v>
      </c>
      <c r="I40" s="3">
        <v>9996</v>
      </c>
      <c r="J40" s="3">
        <v>30</v>
      </c>
      <c r="K40" s="3">
        <v>27</v>
      </c>
      <c r="L40" s="3" t="s">
        <v>67</v>
      </c>
      <c r="M40" s="21"/>
      <c r="N40" s="21"/>
    </row>
    <row r="41" spans="1:14" x14ac:dyDescent="0.35">
      <c r="A41" s="3">
        <v>10040</v>
      </c>
      <c r="B41" s="3" t="s">
        <v>175</v>
      </c>
      <c r="C41" s="3" t="s">
        <v>176</v>
      </c>
      <c r="D41" s="3" t="s">
        <v>69</v>
      </c>
      <c r="E41" s="3" t="s">
        <v>60</v>
      </c>
      <c r="F41" s="3" t="s">
        <v>177</v>
      </c>
      <c r="G41" s="3">
        <v>2999</v>
      </c>
      <c r="H41" s="13">
        <v>7</v>
      </c>
      <c r="I41" s="3">
        <v>8997</v>
      </c>
      <c r="J41" s="3">
        <v>18</v>
      </c>
      <c r="K41" s="3">
        <v>39</v>
      </c>
      <c r="L41" s="3" t="s">
        <v>71</v>
      </c>
      <c r="M41" s="21"/>
      <c r="N41" s="21"/>
    </row>
    <row r="42" spans="1:14" x14ac:dyDescent="0.35">
      <c r="A42" s="3">
        <v>10041</v>
      </c>
      <c r="B42" s="3" t="s">
        <v>178</v>
      </c>
      <c r="C42" s="3" t="s">
        <v>179</v>
      </c>
      <c r="D42" s="3" t="s">
        <v>59</v>
      </c>
      <c r="E42" s="3" t="s">
        <v>73</v>
      </c>
      <c r="F42" s="3" t="s">
        <v>180</v>
      </c>
      <c r="G42" s="3">
        <v>999</v>
      </c>
      <c r="H42" s="14">
        <v>5</v>
      </c>
      <c r="I42" s="3">
        <v>999</v>
      </c>
      <c r="J42" s="3">
        <v>15</v>
      </c>
      <c r="K42" s="3">
        <v>28</v>
      </c>
      <c r="L42" s="3" t="s">
        <v>62</v>
      </c>
      <c r="M42" s="21"/>
      <c r="N42" s="21"/>
    </row>
    <row r="43" spans="1:14" x14ac:dyDescent="0.35">
      <c r="A43" s="3">
        <v>10042</v>
      </c>
      <c r="B43" s="3" t="s">
        <v>181</v>
      </c>
      <c r="C43" s="3" t="s">
        <v>182</v>
      </c>
      <c r="D43" s="3" t="s">
        <v>76</v>
      </c>
      <c r="E43" s="3" t="s">
        <v>65</v>
      </c>
      <c r="F43" s="3" t="s">
        <v>183</v>
      </c>
      <c r="G43" s="3">
        <v>1499</v>
      </c>
      <c r="H43" s="13">
        <v>8</v>
      </c>
      <c r="I43" s="3">
        <v>2998</v>
      </c>
      <c r="J43" s="3">
        <v>20</v>
      </c>
      <c r="K43" s="3">
        <v>35</v>
      </c>
      <c r="L43" s="3" t="s">
        <v>78</v>
      </c>
      <c r="M43" s="21"/>
      <c r="N43" s="21"/>
    </row>
    <row r="44" spans="1:14" x14ac:dyDescent="0.35">
      <c r="A44" s="3">
        <v>10043</v>
      </c>
      <c r="B44" s="3" t="s">
        <v>184</v>
      </c>
      <c r="C44" s="3" t="s">
        <v>185</v>
      </c>
      <c r="D44" s="3" t="s">
        <v>64</v>
      </c>
      <c r="E44" s="3" t="s">
        <v>60</v>
      </c>
      <c r="F44" s="3" t="s">
        <v>186</v>
      </c>
      <c r="G44" s="3">
        <v>1999</v>
      </c>
      <c r="H44" s="14">
        <v>1</v>
      </c>
      <c r="I44" s="3">
        <v>5997</v>
      </c>
      <c r="J44" s="3">
        <v>25</v>
      </c>
      <c r="K44" s="3">
        <v>40</v>
      </c>
      <c r="L44" s="3" t="s">
        <v>67</v>
      </c>
      <c r="M44" s="21"/>
      <c r="N44" s="21"/>
    </row>
    <row r="45" spans="1:14" x14ac:dyDescent="0.35">
      <c r="A45" s="3">
        <v>10044</v>
      </c>
      <c r="B45" s="3" t="s">
        <v>187</v>
      </c>
      <c r="C45" s="3" t="s">
        <v>188</v>
      </c>
      <c r="D45" s="3" t="s">
        <v>69</v>
      </c>
      <c r="E45" s="3" t="s">
        <v>73</v>
      </c>
      <c r="F45" s="3" t="s">
        <v>189</v>
      </c>
      <c r="G45" s="3">
        <v>2499</v>
      </c>
      <c r="H45" s="13">
        <v>6</v>
      </c>
      <c r="I45" s="3">
        <v>9996</v>
      </c>
      <c r="J45" s="3">
        <v>30</v>
      </c>
      <c r="K45" s="3">
        <v>24</v>
      </c>
      <c r="L45" s="3" t="s">
        <v>71</v>
      </c>
      <c r="M45" s="21"/>
      <c r="N45" s="21"/>
    </row>
    <row r="46" spans="1:14" x14ac:dyDescent="0.35">
      <c r="A46" s="3">
        <v>10045</v>
      </c>
      <c r="B46" s="3" t="s">
        <v>190</v>
      </c>
      <c r="C46" s="3" t="s">
        <v>191</v>
      </c>
      <c r="D46" s="3" t="s">
        <v>59</v>
      </c>
      <c r="E46" s="3" t="s">
        <v>65</v>
      </c>
      <c r="F46" s="3" t="s">
        <v>192</v>
      </c>
      <c r="G46" s="3">
        <v>2999</v>
      </c>
      <c r="H46" s="14">
        <v>6</v>
      </c>
      <c r="I46" s="3">
        <v>14995</v>
      </c>
      <c r="J46" s="3">
        <v>18</v>
      </c>
      <c r="K46" s="3">
        <v>31</v>
      </c>
      <c r="L46" s="3" t="s">
        <v>62</v>
      </c>
      <c r="M46" s="21"/>
      <c r="N46" s="21"/>
    </row>
    <row r="47" spans="1:14" x14ac:dyDescent="0.35">
      <c r="A47" s="3">
        <v>10046</v>
      </c>
      <c r="B47" s="3" t="s">
        <v>193</v>
      </c>
      <c r="C47" s="3" t="s">
        <v>194</v>
      </c>
      <c r="D47" s="3" t="s">
        <v>76</v>
      </c>
      <c r="E47" s="3" t="s">
        <v>60</v>
      </c>
      <c r="F47" s="3" t="s">
        <v>195</v>
      </c>
      <c r="G47" s="3">
        <v>999</v>
      </c>
      <c r="H47" s="13">
        <v>8</v>
      </c>
      <c r="I47" s="3">
        <v>1998</v>
      </c>
      <c r="J47" s="3">
        <v>15</v>
      </c>
      <c r="K47" s="3">
        <v>29</v>
      </c>
      <c r="L47" s="3" t="s">
        <v>78</v>
      </c>
      <c r="M47" s="21"/>
      <c r="N47" s="21"/>
    </row>
    <row r="48" spans="1:14" x14ac:dyDescent="0.35">
      <c r="A48" s="3">
        <v>10047</v>
      </c>
      <c r="B48" s="3" t="s">
        <v>196</v>
      </c>
      <c r="C48" s="3" t="s">
        <v>197</v>
      </c>
      <c r="D48" s="3" t="s">
        <v>64</v>
      </c>
      <c r="E48" s="3" t="s">
        <v>73</v>
      </c>
      <c r="F48" s="3" t="s">
        <v>198</v>
      </c>
      <c r="G48" s="3">
        <v>1499</v>
      </c>
      <c r="H48" s="14">
        <v>4</v>
      </c>
      <c r="I48" s="3">
        <v>2998</v>
      </c>
      <c r="J48" s="3">
        <v>20</v>
      </c>
      <c r="K48" s="3">
        <v>45</v>
      </c>
      <c r="L48" s="3" t="s">
        <v>67</v>
      </c>
      <c r="M48" s="21"/>
      <c r="N48" s="21"/>
    </row>
    <row r="49" spans="1:14" x14ac:dyDescent="0.35">
      <c r="A49" s="3">
        <v>10048</v>
      </c>
      <c r="B49" s="3" t="s">
        <v>199</v>
      </c>
      <c r="C49" s="3" t="s">
        <v>200</v>
      </c>
      <c r="D49" s="3" t="s">
        <v>69</v>
      </c>
      <c r="E49" s="3" t="s">
        <v>65</v>
      </c>
      <c r="F49" s="3" t="s">
        <v>201</v>
      </c>
      <c r="G49" s="3">
        <v>1999</v>
      </c>
      <c r="H49" s="13">
        <v>6</v>
      </c>
      <c r="I49" s="3">
        <v>5997</v>
      </c>
      <c r="J49" s="3">
        <v>25</v>
      </c>
      <c r="K49" s="3">
        <v>32</v>
      </c>
      <c r="L49" s="3" t="s">
        <v>71</v>
      </c>
      <c r="M49" s="21"/>
      <c r="N49" s="21"/>
    </row>
    <row r="50" spans="1:14" x14ac:dyDescent="0.35">
      <c r="A50" s="3">
        <v>10049</v>
      </c>
      <c r="B50" s="3" t="s">
        <v>202</v>
      </c>
      <c r="C50" s="3" t="s">
        <v>203</v>
      </c>
      <c r="D50" s="3" t="s">
        <v>59</v>
      </c>
      <c r="E50" s="3" t="s">
        <v>60</v>
      </c>
      <c r="F50" s="3" t="s">
        <v>204</v>
      </c>
      <c r="G50" s="3">
        <v>2499</v>
      </c>
      <c r="H50" s="14">
        <v>9</v>
      </c>
      <c r="I50" s="3">
        <v>22491</v>
      </c>
      <c r="J50" s="3">
        <v>30</v>
      </c>
      <c r="K50" s="3">
        <v>27</v>
      </c>
      <c r="L50" s="3" t="s">
        <v>62</v>
      </c>
      <c r="M50" s="21"/>
      <c r="N50" s="21"/>
    </row>
    <row r="51" spans="1:14" x14ac:dyDescent="0.35">
      <c r="A51" s="3">
        <v>10050</v>
      </c>
      <c r="B51" s="3" t="s">
        <v>205</v>
      </c>
      <c r="C51" s="3" t="s">
        <v>206</v>
      </c>
      <c r="D51" s="3" t="s">
        <v>76</v>
      </c>
      <c r="E51" s="3" t="s">
        <v>73</v>
      </c>
      <c r="F51" s="3" t="s">
        <v>207</v>
      </c>
      <c r="G51" s="3">
        <v>2999</v>
      </c>
      <c r="H51" s="13">
        <v>8</v>
      </c>
      <c r="I51" s="3">
        <v>14995</v>
      </c>
      <c r="J51" s="3">
        <v>18</v>
      </c>
      <c r="K51" s="3">
        <v>39</v>
      </c>
      <c r="L51" s="3" t="s">
        <v>78</v>
      </c>
      <c r="M51" s="21"/>
      <c r="N51" s="21"/>
    </row>
  </sheetData>
  <dataValidations count="1">
    <dataValidation type="list" allowBlank="1" showInputMessage="1" showErrorMessage="1" sqref="M3:M51" xr:uid="{03312807-B61E-411C-A834-3EB4189883BF}">
      <formula1>$F$3:$F$51</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6F14EF-A4EB-410D-AB1C-15EB5EB134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Q06</vt:lpstr>
      <vt:lpstr>Q07</vt:lpstr>
      <vt:lpstr>Q07A</vt:lpstr>
      <vt:lpstr>Q07B</vt:lpstr>
      <vt:lpstr>Q08</vt:lpstr>
      <vt:lpstr>Q09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LAXMI GUPTA</dc:creator>
  <cp:lastModifiedBy>LAXMI GUPTA</cp:lastModifiedBy>
  <dcterms:created xsi:type="dcterms:W3CDTF">2025-10-29T18:30:03Z</dcterms:created>
  <dcterms:modified xsi:type="dcterms:W3CDTF">2025-11-01T11:06:23Z</dcterms:modified>
</cp:coreProperties>
</file>